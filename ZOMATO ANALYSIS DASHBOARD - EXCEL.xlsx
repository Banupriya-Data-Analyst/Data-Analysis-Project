
<file path=[Content_Types].xml><?xml version="1.0" encoding="utf-8"?>
<Types xmlns="http://schemas.openxmlformats.org/package/2006/content-types">
  <Default Extension="bin" ContentType="application/vnd.openxmlformats-officedocument.spreadsheetml.printerSettings"/>
  <Default Extension="png" ContentType="image/png"/>
  <Default Extension="jfif" ContentType="image/jpe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755" activeTab="4"/>
  </bookViews>
  <sheets>
    <sheet name="Sheet8" sheetId="8" r:id="rId1"/>
    <sheet name="Sheet4" sheetId="11" r:id="rId2"/>
    <sheet name="Sheet3" sheetId="3" r:id="rId3"/>
    <sheet name="Sheet2" sheetId="2" r:id="rId4"/>
    <sheet name="Sheet1" sheetId="10" r:id="rId5"/>
  </sheets>
  <definedNames>
    <definedName name="_xlnm._FilterDatabase" localSheetId="2" hidden="1">Sheet3!$AC$1:$AC$1001</definedName>
    <definedName name="Slicer_City">#N/A</definedName>
    <definedName name="Slicer_Country">#N/A</definedName>
    <definedName name="Slicer_Country1">#N/A</definedName>
    <definedName name="Slicer_Order_Date">#N/A</definedName>
    <definedName name="Slicer_Restaurant_Name">#N/A</definedName>
  </definedNames>
  <calcPr calcId="152511"/>
  <pivotCaches>
    <pivotCache cacheId="5" r:id="rId6"/>
    <pivotCache cacheId="6" r:id="rId7"/>
    <pivotCache cacheId="7"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Lst>
</workbook>
</file>

<file path=xl/calcChain.xml><?xml version="1.0" encoding="utf-8"?>
<calcChain xmlns="http://schemas.openxmlformats.org/spreadsheetml/2006/main">
  <c r="V25" i="3" l="1"/>
  <c r="U176" i="3" l="1"/>
  <c r="U138" i="3"/>
  <c r="U115" i="3"/>
  <c r="U88" i="3"/>
  <c r="V19" i="3" l="1"/>
  <c r="V16" i="3"/>
  <c r="V12" i="3"/>
  <c r="V8" i="3"/>
  <c r="V4" i="3"/>
</calcChain>
</file>

<file path=xl/sharedStrings.xml><?xml version="1.0" encoding="utf-8"?>
<sst xmlns="http://schemas.openxmlformats.org/spreadsheetml/2006/main" count="7131" uniqueCount="2148">
  <si>
    <t>OrderID</t>
  </si>
  <si>
    <t>Restaurant Name</t>
  </si>
  <si>
    <t>CustomerID</t>
  </si>
  <si>
    <t>Customer Name</t>
  </si>
  <si>
    <t>Country</t>
  </si>
  <si>
    <t>City</t>
  </si>
  <si>
    <t>Cuisine</t>
  </si>
  <si>
    <t>Votes</t>
  </si>
  <si>
    <t>Average Cost for Two (USD)</t>
  </si>
  <si>
    <t>Rating</t>
  </si>
  <si>
    <t>Price</t>
  </si>
  <si>
    <t>Quantity</t>
  </si>
  <si>
    <t>Total Orders</t>
  </si>
  <si>
    <t>Discount</t>
  </si>
  <si>
    <t>Profit</t>
  </si>
  <si>
    <t>Order Date</t>
  </si>
  <si>
    <t>Food Name</t>
  </si>
  <si>
    <t>F6D20003</t>
  </si>
  <si>
    <t>223B5568</t>
  </si>
  <si>
    <t>A51DB226</t>
  </si>
  <si>
    <t>DB6D9163</t>
  </si>
  <si>
    <t>C50BF002</t>
  </si>
  <si>
    <t>EFCA3003</t>
  </si>
  <si>
    <t>289602A8</t>
  </si>
  <si>
    <t>ADCCD0DD</t>
  </si>
  <si>
    <t>0205AF71</t>
  </si>
  <si>
    <t>4A718822</t>
  </si>
  <si>
    <t>4FE5EBE3</t>
  </si>
  <si>
    <t>8F72FD3A</t>
  </si>
  <si>
    <t>0CB97203</t>
  </si>
  <si>
    <t>31079BB9</t>
  </si>
  <si>
    <t>CF82A0F2</t>
  </si>
  <si>
    <t>F41E7ED9</t>
  </si>
  <si>
    <t>158D5E48</t>
  </si>
  <si>
    <t>96C84CD7</t>
  </si>
  <si>
    <t>EA6D79CB</t>
  </si>
  <si>
    <t>8DEAF553</t>
  </si>
  <si>
    <t>96E770D5</t>
  </si>
  <si>
    <t>A28290D3</t>
  </si>
  <si>
    <t>2F06273B</t>
  </si>
  <si>
    <t>2862D67F</t>
  </si>
  <si>
    <t>90F48250</t>
  </si>
  <si>
    <t>A8440072</t>
  </si>
  <si>
    <t>A78AF23A</t>
  </si>
  <si>
    <t>17A667C3</t>
  </si>
  <si>
    <t>6106F9CC</t>
  </si>
  <si>
    <t>473C0337</t>
  </si>
  <si>
    <t>96BFD98F</t>
  </si>
  <si>
    <t>941BCEE6</t>
  </si>
  <si>
    <t>1EB560A9</t>
  </si>
  <si>
    <t>ECA38CA8</t>
  </si>
  <si>
    <t>BBEE5BC4</t>
  </si>
  <si>
    <t>2E5C5F55</t>
  </si>
  <si>
    <t>0E9A57D6</t>
  </si>
  <si>
    <t>C608423C</t>
  </si>
  <si>
    <t>CBB9244B</t>
  </si>
  <si>
    <t>82657C8F</t>
  </si>
  <si>
    <t>133943F7</t>
  </si>
  <si>
    <t>4071B239</t>
  </si>
  <si>
    <t>3D14FA05</t>
  </si>
  <si>
    <t>BC6D7EF0</t>
  </si>
  <si>
    <t>F318564A</t>
  </si>
  <si>
    <t>452F5DDD</t>
  </si>
  <si>
    <t>F3437C6A</t>
  </si>
  <si>
    <t>26F5A634</t>
  </si>
  <si>
    <t>42052A03</t>
  </si>
  <si>
    <t>CEE6DF9E</t>
  </si>
  <si>
    <t>A7E39499</t>
  </si>
  <si>
    <t>8CA04517</t>
  </si>
  <si>
    <t>FA4261A4</t>
  </si>
  <si>
    <t>BEC4D5E2</t>
  </si>
  <si>
    <t>CD874924</t>
  </si>
  <si>
    <t>564B91F9</t>
  </si>
  <si>
    <t>D3497277</t>
  </si>
  <si>
    <t>B9839CEA</t>
  </si>
  <si>
    <t>645986BA</t>
  </si>
  <si>
    <t>71415B23</t>
  </si>
  <si>
    <t>472D5CA0</t>
  </si>
  <si>
    <t>78A468B1</t>
  </si>
  <si>
    <t>FDD8ACDC</t>
  </si>
  <si>
    <t>6415EE94</t>
  </si>
  <si>
    <t>0B42BFE8</t>
  </si>
  <si>
    <t>4E33330C</t>
  </si>
  <si>
    <t>F9485BE7</t>
  </si>
  <si>
    <t>B6AB3941</t>
  </si>
  <si>
    <t>194D2C59</t>
  </si>
  <si>
    <t>CBDE350B</t>
  </si>
  <si>
    <t>1F204FD5</t>
  </si>
  <si>
    <t>194506CB</t>
  </si>
  <si>
    <t>42DCC405</t>
  </si>
  <si>
    <t>625DC01C</t>
  </si>
  <si>
    <t>F25A2D62</t>
  </si>
  <si>
    <t>3CC1D45A</t>
  </si>
  <si>
    <t>7825C912</t>
  </si>
  <si>
    <t>B8CF26A6</t>
  </si>
  <si>
    <t>4EB90E03</t>
  </si>
  <si>
    <t>778726B5</t>
  </si>
  <si>
    <t>919D0D43</t>
  </si>
  <si>
    <t>D15B085D</t>
  </si>
  <si>
    <t>0405B076</t>
  </si>
  <si>
    <t>E7CE441F</t>
  </si>
  <si>
    <t>D295209E</t>
  </si>
  <si>
    <t>79D4B933</t>
  </si>
  <si>
    <t>912381DE</t>
  </si>
  <si>
    <t>89A27AC7</t>
  </si>
  <si>
    <t>EF365C57</t>
  </si>
  <si>
    <t>7513C565</t>
  </si>
  <si>
    <t>03A60750</t>
  </si>
  <si>
    <t>CBBCC73B</t>
  </si>
  <si>
    <t>F90B7C0F</t>
  </si>
  <si>
    <t>9BDC36CF</t>
  </si>
  <si>
    <t>9C24C20B</t>
  </si>
  <si>
    <t>578B4C9D</t>
  </si>
  <si>
    <t>D15FCE9E</t>
  </si>
  <si>
    <t>54C87980</t>
  </si>
  <si>
    <t>0B1BB900</t>
  </si>
  <si>
    <t>3A7680AE</t>
  </si>
  <si>
    <t>87EC60CA</t>
  </si>
  <si>
    <t>D1BA7772</t>
  </si>
  <si>
    <t>8CFC99EA</t>
  </si>
  <si>
    <t>AF7B36E3</t>
  </si>
  <si>
    <t>5891A3F6</t>
  </si>
  <si>
    <t>3D5B1CD8</t>
  </si>
  <si>
    <t>C33FF3D8</t>
  </si>
  <si>
    <t>DF3FBD4D</t>
  </si>
  <si>
    <t>A20341F3</t>
  </si>
  <si>
    <t>F21E9122</t>
  </si>
  <si>
    <t>36A74B40</t>
  </si>
  <si>
    <t>9428D482</t>
  </si>
  <si>
    <t>0C8EA7C3</t>
  </si>
  <si>
    <t>38B827FE</t>
  </si>
  <si>
    <t>ADBD202C</t>
  </si>
  <si>
    <t>B222E592</t>
  </si>
  <si>
    <t>09073A38</t>
  </si>
  <si>
    <t>BC15CFFB</t>
  </si>
  <si>
    <t>682A3586</t>
  </si>
  <si>
    <t>ACD11B18</t>
  </si>
  <si>
    <t>ED15F5B1</t>
  </si>
  <si>
    <t>01D7EEE0</t>
  </si>
  <si>
    <t>A8DD92F7</t>
  </si>
  <si>
    <t>9729F9E2</t>
  </si>
  <si>
    <t>29369F80</t>
  </si>
  <si>
    <t>3FF4758C</t>
  </si>
  <si>
    <t>34616240</t>
  </si>
  <si>
    <t>9F87028F</t>
  </si>
  <si>
    <t>7A9C2A27</t>
  </si>
  <si>
    <t>071FE06A</t>
  </si>
  <si>
    <t>24934BC1</t>
  </si>
  <si>
    <t>FBEF530B</t>
  </si>
  <si>
    <t>022557EE</t>
  </si>
  <si>
    <t>8FB2AA34</t>
  </si>
  <si>
    <t>1B61C53B</t>
  </si>
  <si>
    <t>B5124DEC</t>
  </si>
  <si>
    <t>A30F208E</t>
  </si>
  <si>
    <t>D157A3D3</t>
  </si>
  <si>
    <t>21C13757</t>
  </si>
  <si>
    <t>306F15D5</t>
  </si>
  <si>
    <t>AFE91F25</t>
  </si>
  <si>
    <t>8C377463</t>
  </si>
  <si>
    <t>3FD1888F</t>
  </si>
  <si>
    <t>9E04F377</t>
  </si>
  <si>
    <t>D22E4916</t>
  </si>
  <si>
    <t>CEE8A22D</t>
  </si>
  <si>
    <t>D2F708BC</t>
  </si>
  <si>
    <t>B810D6C3</t>
  </si>
  <si>
    <t>CC9480FB</t>
  </si>
  <si>
    <t>0E3D1738</t>
  </si>
  <si>
    <t>976446A4</t>
  </si>
  <si>
    <t>5B2BD074</t>
  </si>
  <si>
    <t>F24D9EC0</t>
  </si>
  <si>
    <t>F73B82A9</t>
  </si>
  <si>
    <t>5D3DCD6F</t>
  </si>
  <si>
    <t>F3927C35</t>
  </si>
  <si>
    <t>164A7299</t>
  </si>
  <si>
    <t>6B846FBF</t>
  </si>
  <si>
    <t>5CBEE46E</t>
  </si>
  <si>
    <t>E8DF7F19</t>
  </si>
  <si>
    <t>822C87E4</t>
  </si>
  <si>
    <t>6798D0C6</t>
  </si>
  <si>
    <t>E840D131</t>
  </si>
  <si>
    <t>F973BC7E</t>
  </si>
  <si>
    <t>465832CB</t>
  </si>
  <si>
    <t>63917C69</t>
  </si>
  <si>
    <t>D0F57EF1</t>
  </si>
  <si>
    <t>EEC1EF24</t>
  </si>
  <si>
    <t>37F4FAA7</t>
  </si>
  <si>
    <t>53C5A054</t>
  </si>
  <si>
    <t>C442DF23</t>
  </si>
  <si>
    <t>58AD6559</t>
  </si>
  <si>
    <t>5D2A3818</t>
  </si>
  <si>
    <t>62A78ADA</t>
  </si>
  <si>
    <t>678D28CE</t>
  </si>
  <si>
    <t>CC74B51E</t>
  </si>
  <si>
    <t>5F91C6F9</t>
  </si>
  <si>
    <t>7272D005</t>
  </si>
  <si>
    <t>8144AA63</t>
  </si>
  <si>
    <t>A6650527</t>
  </si>
  <si>
    <t>43F349EE</t>
  </si>
  <si>
    <t>7F6D43F6</t>
  </si>
  <si>
    <t>8231C1E3</t>
  </si>
  <si>
    <t>123BAEC6</t>
  </si>
  <si>
    <t>07C963AD</t>
  </si>
  <si>
    <t>3BF90220</t>
  </si>
  <si>
    <t>328C870C</t>
  </si>
  <si>
    <t>4B8C9E94</t>
  </si>
  <si>
    <t>596867A1</t>
  </si>
  <si>
    <t>E8129395</t>
  </si>
  <si>
    <t>F7594EA4</t>
  </si>
  <si>
    <t>D8263C47</t>
  </si>
  <si>
    <t>E84C5A0A</t>
  </si>
  <si>
    <t>3FCF444D</t>
  </si>
  <si>
    <t>281E17F0</t>
  </si>
  <si>
    <t>D57BD971</t>
  </si>
  <si>
    <t>49213156</t>
  </si>
  <si>
    <t>E621D5FD</t>
  </si>
  <si>
    <t>18A21C49</t>
  </si>
  <si>
    <t>ECC01213</t>
  </si>
  <si>
    <t>A3C32BDE</t>
  </si>
  <si>
    <t>F697184A</t>
  </si>
  <si>
    <t>54637D1F</t>
  </si>
  <si>
    <t>10C136D7</t>
  </si>
  <si>
    <t>411C25C5</t>
  </si>
  <si>
    <t>2930804D</t>
  </si>
  <si>
    <t>8E93119D</t>
  </si>
  <si>
    <t>A72AC8B4</t>
  </si>
  <si>
    <t>23B042F9</t>
  </si>
  <si>
    <t>5967B58A</t>
  </si>
  <si>
    <t>94D19C2A</t>
  </si>
  <si>
    <t>05EDA9DB</t>
  </si>
  <si>
    <t>B32F51A3</t>
  </si>
  <si>
    <t>76BC43CD</t>
  </si>
  <si>
    <t>7F50FE80</t>
  </si>
  <si>
    <t>8045BD29</t>
  </si>
  <si>
    <t>FDFEA1F5</t>
  </si>
  <si>
    <t>D307264B</t>
  </si>
  <si>
    <t>432E8B3C</t>
  </si>
  <si>
    <t>9FA53C7A</t>
  </si>
  <si>
    <t>E0A418D7</t>
  </si>
  <si>
    <t>F483C306</t>
  </si>
  <si>
    <t>A6F27989</t>
  </si>
  <si>
    <t>C439B27B</t>
  </si>
  <si>
    <t>3427860C</t>
  </si>
  <si>
    <t>3B317D5C</t>
  </si>
  <si>
    <t>C91F9A06</t>
  </si>
  <si>
    <t>417BB02A</t>
  </si>
  <si>
    <t>E201A73E</t>
  </si>
  <si>
    <t>32E9EC4A</t>
  </si>
  <si>
    <t>72EC7FFC</t>
  </si>
  <si>
    <t>AC811B9C</t>
  </si>
  <si>
    <t>3EBD8DE3</t>
  </si>
  <si>
    <t>015B7B0E</t>
  </si>
  <si>
    <t>067C91A5</t>
  </si>
  <si>
    <t>7EC237B7</t>
  </si>
  <si>
    <t>D5E6ADD2</t>
  </si>
  <si>
    <t>CEB3F081</t>
  </si>
  <si>
    <t>67B45B4C</t>
  </si>
  <si>
    <t>2BE3CAA5</t>
  </si>
  <si>
    <t>212D2227</t>
  </si>
  <si>
    <t>BFE132BD</t>
  </si>
  <si>
    <t>C9C22698</t>
  </si>
  <si>
    <t>8A3AC05E</t>
  </si>
  <si>
    <t>2B83FC79</t>
  </si>
  <si>
    <t>6A5D9F94</t>
  </si>
  <si>
    <t>2A4EA006</t>
  </si>
  <si>
    <t>95B70454</t>
  </si>
  <si>
    <t>D1848D13</t>
  </si>
  <si>
    <t>B2F8E293</t>
  </si>
  <si>
    <t>63FE5F4B</t>
  </si>
  <si>
    <t>0B4CC7CF</t>
  </si>
  <si>
    <t>27B0A8CC</t>
  </si>
  <si>
    <t>06215777</t>
  </si>
  <si>
    <t>798E196F</t>
  </si>
  <si>
    <t>158323BC</t>
  </si>
  <si>
    <t>4777320D</t>
  </si>
  <si>
    <t>1F4975BD</t>
  </si>
  <si>
    <t>41E9B6CE</t>
  </si>
  <si>
    <t>81B84991</t>
  </si>
  <si>
    <t>CF76FFAE</t>
  </si>
  <si>
    <t>2AC5C594</t>
  </si>
  <si>
    <t>751FD75F</t>
  </si>
  <si>
    <t>6F96A0A4</t>
  </si>
  <si>
    <t>969F6444</t>
  </si>
  <si>
    <t>3AA899FA</t>
  </si>
  <si>
    <t>A2136473</t>
  </si>
  <si>
    <t>D0BD3E38</t>
  </si>
  <si>
    <t>A556C5DA</t>
  </si>
  <si>
    <t>90C267CD</t>
  </si>
  <si>
    <t>D227813D</t>
  </si>
  <si>
    <t>4C99A6FB</t>
  </si>
  <si>
    <t>3A6BDB3F</t>
  </si>
  <si>
    <t>9FB223E4</t>
  </si>
  <si>
    <t>10EC1FE4</t>
  </si>
  <si>
    <t>2A2F31CF</t>
  </si>
  <si>
    <t>8B151D2D</t>
  </si>
  <si>
    <t>44338A8C</t>
  </si>
  <si>
    <t>6F82A632</t>
  </si>
  <si>
    <t>DABBFB84</t>
  </si>
  <si>
    <t>DB683564</t>
  </si>
  <si>
    <t>0F942C69</t>
  </si>
  <si>
    <t>70D38732</t>
  </si>
  <si>
    <t>23A52E7F</t>
  </si>
  <si>
    <t>1B2D6855</t>
  </si>
  <si>
    <t>88D8D5F3</t>
  </si>
  <si>
    <t>FA76C601</t>
  </si>
  <si>
    <t>AA055E3C</t>
  </si>
  <si>
    <t>2CE145C4</t>
  </si>
  <si>
    <t>CE44E762</t>
  </si>
  <si>
    <t>200B0EC7</t>
  </si>
  <si>
    <t>0506E8B1</t>
  </si>
  <si>
    <t>A4ADEDBF</t>
  </si>
  <si>
    <t>804DBE16</t>
  </si>
  <si>
    <t>59600162</t>
  </si>
  <si>
    <t>75D84991</t>
  </si>
  <si>
    <t>148BF9B4</t>
  </si>
  <si>
    <t>B2E0E648</t>
  </si>
  <si>
    <t>0A4B56DC</t>
  </si>
  <si>
    <t>33BEE376</t>
  </si>
  <si>
    <t>AAA65AD3</t>
  </si>
  <si>
    <t>12C2F493</t>
  </si>
  <si>
    <t>220A2574</t>
  </si>
  <si>
    <t>31916B4E</t>
  </si>
  <si>
    <t>57597925</t>
  </si>
  <si>
    <t>0C21388B</t>
  </si>
  <si>
    <t>A776BA2A</t>
  </si>
  <si>
    <t>980F1AF9</t>
  </si>
  <si>
    <t>EF16AA03</t>
  </si>
  <si>
    <t>7E2FC999</t>
  </si>
  <si>
    <t>92E4D335</t>
  </si>
  <si>
    <t>BF716B9B</t>
  </si>
  <si>
    <t>FC648D50</t>
  </si>
  <si>
    <t>0FE58B75</t>
  </si>
  <si>
    <t>36A87766</t>
  </si>
  <si>
    <t>97E2ADA4</t>
  </si>
  <si>
    <t>EBBA03D1</t>
  </si>
  <si>
    <t>1F7E3611</t>
  </si>
  <si>
    <t>3AE34CC2</t>
  </si>
  <si>
    <t>B87FE3DC</t>
  </si>
  <si>
    <t>4D9C8234</t>
  </si>
  <si>
    <t>B4BB24F8</t>
  </si>
  <si>
    <t>433CECC3</t>
  </si>
  <si>
    <t>BFC92D2D</t>
  </si>
  <si>
    <t>0C2F6C68</t>
  </si>
  <si>
    <t>9B31096C</t>
  </si>
  <si>
    <t>A0BC2093</t>
  </si>
  <si>
    <t>138F08DF</t>
  </si>
  <si>
    <t>5039CB33</t>
  </si>
  <si>
    <t>D77FFC28</t>
  </si>
  <si>
    <t>B0BC89C2</t>
  </si>
  <si>
    <t>A8EAC98D</t>
  </si>
  <si>
    <t>9BE459D2</t>
  </si>
  <si>
    <t>34FD0CFC</t>
  </si>
  <si>
    <t>848FDB33</t>
  </si>
  <si>
    <t>2ADD6FE5</t>
  </si>
  <si>
    <t>12C0AFAF</t>
  </si>
  <si>
    <t>60E57B8C</t>
  </si>
  <si>
    <t>0A6BC75D</t>
  </si>
  <si>
    <t>9D2B8F13</t>
  </si>
  <si>
    <t>456B5B00</t>
  </si>
  <si>
    <t>1ED87466</t>
  </si>
  <si>
    <t>781F1C02</t>
  </si>
  <si>
    <t>C203232B</t>
  </si>
  <si>
    <t>FB5BEBAE</t>
  </si>
  <si>
    <t>B936C37C</t>
  </si>
  <si>
    <t>66B7982C</t>
  </si>
  <si>
    <t>9E6DF523</t>
  </si>
  <si>
    <t>121FEEE0</t>
  </si>
  <si>
    <t>434E5C56</t>
  </si>
  <si>
    <t>1F7B78B4</t>
  </si>
  <si>
    <t>7C39C94B</t>
  </si>
  <si>
    <t>EC4EEC9E</t>
  </si>
  <si>
    <t>80787C80</t>
  </si>
  <si>
    <t>F32BAC95</t>
  </si>
  <si>
    <t>2D55282E</t>
  </si>
  <si>
    <t>A6FE5134</t>
  </si>
  <si>
    <t>60B97092</t>
  </si>
  <si>
    <t>A29D61B5</t>
  </si>
  <si>
    <t>CA74A1AC</t>
  </si>
  <si>
    <t>5449B0D5</t>
  </si>
  <si>
    <t>8247A300</t>
  </si>
  <si>
    <t>0C031661</t>
  </si>
  <si>
    <t>06704108</t>
  </si>
  <si>
    <t>3D47D2F7</t>
  </si>
  <si>
    <t>898CB2B5</t>
  </si>
  <si>
    <t>66E156B0</t>
  </si>
  <si>
    <t>1F60A01B</t>
  </si>
  <si>
    <t>254462BD</t>
  </si>
  <si>
    <t>CD831111</t>
  </si>
  <si>
    <t>2CF675F6</t>
  </si>
  <si>
    <t>5A74F364</t>
  </si>
  <si>
    <t>8412D482</t>
  </si>
  <si>
    <t>A7B1F8AB</t>
  </si>
  <si>
    <t>92BCEAF8</t>
  </si>
  <si>
    <t>1D3AC5E3</t>
  </si>
  <si>
    <t>333DD765</t>
  </si>
  <si>
    <t>720E2540</t>
  </si>
  <si>
    <t>16DFA64A</t>
  </si>
  <si>
    <t>1851D120</t>
  </si>
  <si>
    <t>3F4A78CC</t>
  </si>
  <si>
    <t>10B0DA38</t>
  </si>
  <si>
    <t>B1743F56</t>
  </si>
  <si>
    <t>EA738D4B</t>
  </si>
  <si>
    <t>2F505C53</t>
  </si>
  <si>
    <t>2A4031EE</t>
  </si>
  <si>
    <t>90E70492</t>
  </si>
  <si>
    <t>892EAC36</t>
  </si>
  <si>
    <t>3C1AA027</t>
  </si>
  <si>
    <t>C991B287</t>
  </si>
  <si>
    <t>5CFAE48E</t>
  </si>
  <si>
    <t>61C650F9</t>
  </si>
  <si>
    <t>7D837F45</t>
  </si>
  <si>
    <t>A3A0BF69</t>
  </si>
  <si>
    <t>75E5CC57</t>
  </si>
  <si>
    <t>89870636</t>
  </si>
  <si>
    <t>5FCD3021</t>
  </si>
  <si>
    <t>6A8EA3CB</t>
  </si>
  <si>
    <t>113608C6</t>
  </si>
  <si>
    <t>33183A9B</t>
  </si>
  <si>
    <t>0FCF0AFE</t>
  </si>
  <si>
    <t>15AB2129</t>
  </si>
  <si>
    <t>1E3D9509</t>
  </si>
  <si>
    <t>283E7D8F</t>
  </si>
  <si>
    <t>043A6E1F</t>
  </si>
  <si>
    <t>53824979</t>
  </si>
  <si>
    <t>935EB149</t>
  </si>
  <si>
    <t>6847ACCC</t>
  </si>
  <si>
    <t>AD3D7D39</t>
  </si>
  <si>
    <t>EB2C7CD6</t>
  </si>
  <si>
    <t>F4C28D9B</t>
  </si>
  <si>
    <t>24E36F00</t>
  </si>
  <si>
    <t>E2C7B081</t>
  </si>
  <si>
    <t>A4D7D3EC</t>
  </si>
  <si>
    <t>54FA9647</t>
  </si>
  <si>
    <t>5B6B0533</t>
  </si>
  <si>
    <t>5A784D50</t>
  </si>
  <si>
    <t>F1378A02</t>
  </si>
  <si>
    <t>4824DAAB</t>
  </si>
  <si>
    <t>0603450F</t>
  </si>
  <si>
    <t>10C60362</t>
  </si>
  <si>
    <t>1A5BFCF5</t>
  </si>
  <si>
    <t>7FEE6424</t>
  </si>
  <si>
    <t>FCD2315D</t>
  </si>
  <si>
    <t>68B57165</t>
  </si>
  <si>
    <t>87F343D7</t>
  </si>
  <si>
    <t>874DA5C2</t>
  </si>
  <si>
    <t>46BBC063</t>
  </si>
  <si>
    <t>FBBBAAAB</t>
  </si>
  <si>
    <t>21AB808D</t>
  </si>
  <si>
    <t>0708CBBF</t>
  </si>
  <si>
    <t>F9C1AC77</t>
  </si>
  <si>
    <t>BCEFF223</t>
  </si>
  <si>
    <t>C7325674</t>
  </si>
  <si>
    <t>031DB3AB</t>
  </si>
  <si>
    <t>9FB57ECF</t>
  </si>
  <si>
    <t>6CB2B2B0</t>
  </si>
  <si>
    <t>773478BB</t>
  </si>
  <si>
    <t>D210009A</t>
  </si>
  <si>
    <t>536CABFA</t>
  </si>
  <si>
    <t>0DC16BC1</t>
  </si>
  <si>
    <t>1FEEB2A5</t>
  </si>
  <si>
    <t>F73F8165</t>
  </si>
  <si>
    <t>5BEF8764</t>
  </si>
  <si>
    <t>7971EA79</t>
  </si>
  <si>
    <t>1B8B8F67</t>
  </si>
  <si>
    <t>DE13B2A1</t>
  </si>
  <si>
    <t>DEFA0C3A</t>
  </si>
  <si>
    <t>A9746652</t>
  </si>
  <si>
    <t>EC132DC8</t>
  </si>
  <si>
    <t>3675A7F6</t>
  </si>
  <si>
    <t>6FBB27E7</t>
  </si>
  <si>
    <t>8141B9FE</t>
  </si>
  <si>
    <t>1E2096DA</t>
  </si>
  <si>
    <t>74B37B77</t>
  </si>
  <si>
    <t>74834014</t>
  </si>
  <si>
    <t>5369E487</t>
  </si>
  <si>
    <t>51C42B74</t>
  </si>
  <si>
    <t>5EC01FE2</t>
  </si>
  <si>
    <t>36506687</t>
  </si>
  <si>
    <t>6F1FF3AD</t>
  </si>
  <si>
    <t>163AF736</t>
  </si>
  <si>
    <t>EF68350C</t>
  </si>
  <si>
    <t>98DB4AE5</t>
  </si>
  <si>
    <t>9737AD5D</t>
  </si>
  <si>
    <t>9E3A05EA</t>
  </si>
  <si>
    <t>85D2AD24</t>
  </si>
  <si>
    <t>65F601AF</t>
  </si>
  <si>
    <t>A4D8D668</t>
  </si>
  <si>
    <t>40862B52</t>
  </si>
  <si>
    <t>616BC3B7</t>
  </si>
  <si>
    <t>E616AB85</t>
  </si>
  <si>
    <t>DBB4F9B1</t>
  </si>
  <si>
    <t>1AF6FCEA</t>
  </si>
  <si>
    <t>170A49D3</t>
  </si>
  <si>
    <t>DEBB0D61</t>
  </si>
  <si>
    <t>7FD22CBA</t>
  </si>
  <si>
    <t>E47EBA56</t>
  </si>
  <si>
    <t>1948236C</t>
  </si>
  <si>
    <t>0392B195</t>
  </si>
  <si>
    <t>1CC7554A</t>
  </si>
  <si>
    <t>FEE544C2</t>
  </si>
  <si>
    <t>0A5CFE83</t>
  </si>
  <si>
    <t>4485C4BC</t>
  </si>
  <si>
    <t>B41C357C</t>
  </si>
  <si>
    <t>438EDE01</t>
  </si>
  <si>
    <t>CC42D8FF</t>
  </si>
  <si>
    <t>C023E13B</t>
  </si>
  <si>
    <t>1A37391B</t>
  </si>
  <si>
    <t>BBF2939F</t>
  </si>
  <si>
    <t>3969F67B</t>
  </si>
  <si>
    <t>38E42FB6</t>
  </si>
  <si>
    <t>37C88417</t>
  </si>
  <si>
    <t>B3D096C0</t>
  </si>
  <si>
    <t>41F40075</t>
  </si>
  <si>
    <t>237B558D</t>
  </si>
  <si>
    <t>EFF53F9F</t>
  </si>
  <si>
    <t>233FEA09</t>
  </si>
  <si>
    <t>5A82390C</t>
  </si>
  <si>
    <t>794FC284</t>
  </si>
  <si>
    <t>FA72BED5</t>
  </si>
  <si>
    <t>E6FDEB6F</t>
  </si>
  <si>
    <t>9B4502CF</t>
  </si>
  <si>
    <t>25CF1600</t>
  </si>
  <si>
    <t>D6B45895</t>
  </si>
  <si>
    <t>45169EF5</t>
  </si>
  <si>
    <t>DBB30A56</t>
  </si>
  <si>
    <t>86DD3B1A</t>
  </si>
  <si>
    <t>4948B020</t>
  </si>
  <si>
    <t>885F751F</t>
  </si>
  <si>
    <t>A8405206</t>
  </si>
  <si>
    <t>257AB318</t>
  </si>
  <si>
    <t>50CE7CC3</t>
  </si>
  <si>
    <t>AD928194</t>
  </si>
  <si>
    <t>D92FC081</t>
  </si>
  <si>
    <t>741924C8</t>
  </si>
  <si>
    <t>360B2ADC</t>
  </si>
  <si>
    <t>C7D9D452</t>
  </si>
  <si>
    <t>21C82609</t>
  </si>
  <si>
    <t>AC8BF542</t>
  </si>
  <si>
    <t>ECBE77F6</t>
  </si>
  <si>
    <t>FA9FF891</t>
  </si>
  <si>
    <t>34027C4D</t>
  </si>
  <si>
    <t>B02E63A1</t>
  </si>
  <si>
    <t>5D44D3F7</t>
  </si>
  <si>
    <t>5397F771</t>
  </si>
  <si>
    <t>18F76880</t>
  </si>
  <si>
    <t>E213105A</t>
  </si>
  <si>
    <t>116214AD</t>
  </si>
  <si>
    <t>DD75DA32</t>
  </si>
  <si>
    <t>46B7068F</t>
  </si>
  <si>
    <t>E08626D8</t>
  </si>
  <si>
    <t>A75D78D6</t>
  </si>
  <si>
    <t>D04162AF</t>
  </si>
  <si>
    <t>00C016C8</t>
  </si>
  <si>
    <t>85755785</t>
  </si>
  <si>
    <t>13F7B2BD</t>
  </si>
  <si>
    <t>5453643C</t>
  </si>
  <si>
    <t>A9FA3D61</t>
  </si>
  <si>
    <t>4E35DBD0</t>
  </si>
  <si>
    <t>974A7968</t>
  </si>
  <si>
    <t>E54ABC07</t>
  </si>
  <si>
    <t>0FFE9B21</t>
  </si>
  <si>
    <t>8D7F2AF7</t>
  </si>
  <si>
    <t>A9324ABB</t>
  </si>
  <si>
    <t>FAF77C36</t>
  </si>
  <si>
    <t>4F379EDA</t>
  </si>
  <si>
    <t>CAFE03BB</t>
  </si>
  <si>
    <t>A6902C68</t>
  </si>
  <si>
    <t>8340238B</t>
  </si>
  <si>
    <t>A141B411</t>
  </si>
  <si>
    <t>69B90F10</t>
  </si>
  <si>
    <t>EE708FDC</t>
  </si>
  <si>
    <t>EF7CA707</t>
  </si>
  <si>
    <t>9077D818</t>
  </si>
  <si>
    <t>09DC7607</t>
  </si>
  <si>
    <t>AF6F04FF</t>
  </si>
  <si>
    <t>49307775</t>
  </si>
  <si>
    <t>8E1A3CC3</t>
  </si>
  <si>
    <t>6D1EA5F4</t>
  </si>
  <si>
    <t>C0CF4A59</t>
  </si>
  <si>
    <t>90DB65A8</t>
  </si>
  <si>
    <t>58A4FF12</t>
  </si>
  <si>
    <t>B35122BE</t>
  </si>
  <si>
    <t>CA8950D8</t>
  </si>
  <si>
    <t>9E8AAB48</t>
  </si>
  <si>
    <t>64554A40</t>
  </si>
  <si>
    <t>F5445AF5</t>
  </si>
  <si>
    <t>3B7BE138</t>
  </si>
  <si>
    <t>4491D4B0</t>
  </si>
  <si>
    <t>4E37ED8D</t>
  </si>
  <si>
    <t>9CB88F95</t>
  </si>
  <si>
    <t>0686240D</t>
  </si>
  <si>
    <t>439374EA</t>
  </si>
  <si>
    <t>329F9FD5</t>
  </si>
  <si>
    <t>A3485798</t>
  </si>
  <si>
    <t>51D0E61A</t>
  </si>
  <si>
    <t>5F3969F4</t>
  </si>
  <si>
    <t>AF1EB0BF</t>
  </si>
  <si>
    <t>E76E682D</t>
  </si>
  <si>
    <t>A5C9BDE1</t>
  </si>
  <si>
    <t>7ABFCEF7</t>
  </si>
  <si>
    <t>AB979A8B</t>
  </si>
  <si>
    <t>9C53958B</t>
  </si>
  <si>
    <t>9A474500</t>
  </si>
  <si>
    <t>14764B45</t>
  </si>
  <si>
    <t>D921BE0D</t>
  </si>
  <si>
    <t>D4BC67BB</t>
  </si>
  <si>
    <t>D805C8A0</t>
  </si>
  <si>
    <t>37E25D2D</t>
  </si>
  <si>
    <t>56ADED34</t>
  </si>
  <si>
    <t>3A3BFCB1</t>
  </si>
  <si>
    <t>5C77837B</t>
  </si>
  <si>
    <t>F011F6B6</t>
  </si>
  <si>
    <t>0ABA3421</t>
  </si>
  <si>
    <t>E03A2A96</t>
  </si>
  <si>
    <t>F876E872</t>
  </si>
  <si>
    <t>62CF6878</t>
  </si>
  <si>
    <t>B0120C18</t>
  </si>
  <si>
    <t>F60105BF</t>
  </si>
  <si>
    <t>E730C9CB</t>
  </si>
  <si>
    <t>8E344DA0</t>
  </si>
  <si>
    <t>939D9626</t>
  </si>
  <si>
    <t>C231663B</t>
  </si>
  <si>
    <t>5B5E9295</t>
  </si>
  <si>
    <t>70DBF314</t>
  </si>
  <si>
    <t>CCA04A93</t>
  </si>
  <si>
    <t>F6E3490E</t>
  </si>
  <si>
    <t>D644991A</t>
  </si>
  <si>
    <t>ADE8CE77</t>
  </si>
  <si>
    <t>89FC30F4</t>
  </si>
  <si>
    <t>2E044F8A</t>
  </si>
  <si>
    <t>8A601897</t>
  </si>
  <si>
    <t>A82844EC</t>
  </si>
  <si>
    <t>E25349CB</t>
  </si>
  <si>
    <t>89E6624F</t>
  </si>
  <si>
    <t>86B9764C</t>
  </si>
  <si>
    <t>509C99EB</t>
  </si>
  <si>
    <t>1F530B23</t>
  </si>
  <si>
    <t>56F34867</t>
  </si>
  <si>
    <t>B978067A</t>
  </si>
  <si>
    <t>64353608</t>
  </si>
  <si>
    <t>E869F1C0</t>
  </si>
  <si>
    <t>F9735BD7</t>
  </si>
  <si>
    <t>3DA4693F</t>
  </si>
  <si>
    <t>A7CBD072</t>
  </si>
  <si>
    <t>F4C644A6</t>
  </si>
  <si>
    <t>16D836AB</t>
  </si>
  <si>
    <t>E08CB522</t>
  </si>
  <si>
    <t>BA8F704A</t>
  </si>
  <si>
    <t>6B7BD4FA</t>
  </si>
  <si>
    <t>D23CD564</t>
  </si>
  <si>
    <t>EEDA1B8C</t>
  </si>
  <si>
    <t>5B86BBB9</t>
  </si>
  <si>
    <t>AA59827E</t>
  </si>
  <si>
    <t>48C837B1</t>
  </si>
  <si>
    <t>EC0D3C39</t>
  </si>
  <si>
    <t>B1D57C08</t>
  </si>
  <si>
    <t>CC750671</t>
  </si>
  <si>
    <t>434505A9</t>
  </si>
  <si>
    <t>0156E408</t>
  </si>
  <si>
    <t>EE3BFD0F</t>
  </si>
  <si>
    <t>BF9D859C</t>
  </si>
  <si>
    <t>3F64CEE8</t>
  </si>
  <si>
    <t>98F19184</t>
  </si>
  <si>
    <t>BAC9177E</t>
  </si>
  <si>
    <t>2C32A83B</t>
  </si>
  <si>
    <t>A165E36A</t>
  </si>
  <si>
    <t>6CA6D290</t>
  </si>
  <si>
    <t>C61DC098</t>
  </si>
  <si>
    <t>A4F042EF</t>
  </si>
  <si>
    <t>EC204BE9</t>
  </si>
  <si>
    <t>AD7EDA5E</t>
  </si>
  <si>
    <t>D8B85E7B</t>
  </si>
  <si>
    <t>F3CD7F65</t>
  </si>
  <si>
    <t>8C7E02EC</t>
  </si>
  <si>
    <t>D3883F0A</t>
  </si>
  <si>
    <t>0B53207D</t>
  </si>
  <si>
    <t>75A12811</t>
  </si>
  <si>
    <t>64698B35</t>
  </si>
  <si>
    <t>6855BE14</t>
  </si>
  <si>
    <t>F18420BA</t>
  </si>
  <si>
    <t>436FA073</t>
  </si>
  <si>
    <t>1EBF35B3</t>
  </si>
  <si>
    <t>E14A4384</t>
  </si>
  <si>
    <t>9721670B</t>
  </si>
  <si>
    <t>464346FC</t>
  </si>
  <si>
    <t>BF634557</t>
  </si>
  <si>
    <t>08347F98</t>
  </si>
  <si>
    <t>0E571209</t>
  </si>
  <si>
    <t>BF410384</t>
  </si>
  <si>
    <t>16BD7C46</t>
  </si>
  <si>
    <t>77B42B39</t>
  </si>
  <si>
    <t>29DC4E30</t>
  </si>
  <si>
    <t>E335F221</t>
  </si>
  <si>
    <t>C26034BD</t>
  </si>
  <si>
    <t>C96895C9</t>
  </si>
  <si>
    <t>41D38585</t>
  </si>
  <si>
    <t>762C4D36</t>
  </si>
  <si>
    <t>782103F5</t>
  </si>
  <si>
    <t>FFDC0ECE</t>
  </si>
  <si>
    <t>61764D69</t>
  </si>
  <si>
    <t>55163FC4</t>
  </si>
  <si>
    <t>1B1EE042</t>
  </si>
  <si>
    <t>43732E1C</t>
  </si>
  <si>
    <t>38DC0135</t>
  </si>
  <si>
    <t>ADF9DB89</t>
  </si>
  <si>
    <t>4C6D5854</t>
  </si>
  <si>
    <t>F568A66E</t>
  </si>
  <si>
    <t>6B100570</t>
  </si>
  <si>
    <t>16C12B14</t>
  </si>
  <si>
    <t>09224BFF</t>
  </si>
  <si>
    <t>1538BF20</t>
  </si>
  <si>
    <t>A94F3C1A</t>
  </si>
  <si>
    <t>45E29448</t>
  </si>
  <si>
    <t>E673E9DB</t>
  </si>
  <si>
    <t>1404AF18</t>
  </si>
  <si>
    <t>2C95167B</t>
  </si>
  <si>
    <t>43E0ECA6</t>
  </si>
  <si>
    <t>C47F5E24</t>
  </si>
  <si>
    <t>18789EB4</t>
  </si>
  <si>
    <t>698DC602</t>
  </si>
  <si>
    <t>BA00B0A1</t>
  </si>
  <si>
    <t>921B4AF8</t>
  </si>
  <si>
    <t>270B05A3</t>
  </si>
  <si>
    <t>330A1106</t>
  </si>
  <si>
    <t>C6878BE6</t>
  </si>
  <si>
    <t>742F20D1</t>
  </si>
  <si>
    <t>37810734</t>
  </si>
  <si>
    <t>74B224FD</t>
  </si>
  <si>
    <t>20FCC4DE</t>
  </si>
  <si>
    <t>B0763920</t>
  </si>
  <si>
    <t>6F0E3C94</t>
  </si>
  <si>
    <t>DA7B8667</t>
  </si>
  <si>
    <t>5A1CC0ED</t>
  </si>
  <si>
    <t>9EB31B6E</t>
  </si>
  <si>
    <t>3817B182</t>
  </si>
  <si>
    <t>48A3455F</t>
  </si>
  <si>
    <t>6C25FA66</t>
  </si>
  <si>
    <t>537C0C28</t>
  </si>
  <si>
    <t>3013AA3D</t>
  </si>
  <si>
    <t>B019A630</t>
  </si>
  <si>
    <t>BC76D800</t>
  </si>
  <si>
    <t>2153EE91</t>
  </si>
  <si>
    <t>8FA7842D</t>
  </si>
  <si>
    <t>6FC80BE9</t>
  </si>
  <si>
    <t>17A472AB</t>
  </si>
  <si>
    <t>B1739B9C</t>
  </si>
  <si>
    <t>1394AE83</t>
  </si>
  <si>
    <t>2CA5C96D</t>
  </si>
  <si>
    <t>AE9E2C93</t>
  </si>
  <si>
    <t>D9D104BB</t>
  </si>
  <si>
    <t>84BA68D0</t>
  </si>
  <si>
    <t>8A95B839</t>
  </si>
  <si>
    <t>A90149B4</t>
  </si>
  <si>
    <t>3C3E805F</t>
  </si>
  <si>
    <t>15E3B124</t>
  </si>
  <si>
    <t>DD273A8D</t>
  </si>
  <si>
    <t>60CC1567</t>
  </si>
  <si>
    <t>E84B6420</t>
  </si>
  <si>
    <t>F5F1F8F0</t>
  </si>
  <si>
    <t>0A380993</t>
  </si>
  <si>
    <t>F195FF84</t>
  </si>
  <si>
    <t>4FFA5324</t>
  </si>
  <si>
    <t>4F27084A</t>
  </si>
  <si>
    <t>EE8E3001</t>
  </si>
  <si>
    <t>0D841DE7</t>
  </si>
  <si>
    <t>955E6DD6</t>
  </si>
  <si>
    <t>9E92536D</t>
  </si>
  <si>
    <t>3881128E</t>
  </si>
  <si>
    <t>CB990F4D</t>
  </si>
  <si>
    <t>5C99243B</t>
  </si>
  <si>
    <t>1A647697</t>
  </si>
  <si>
    <t>1153DBB6</t>
  </si>
  <si>
    <t>D781037C</t>
  </si>
  <si>
    <t>33D6D6BD</t>
  </si>
  <si>
    <t>43BE83FD</t>
  </si>
  <si>
    <t>7D3E6160</t>
  </si>
  <si>
    <t>35AD8279</t>
  </si>
  <si>
    <t>0E89755F</t>
  </si>
  <si>
    <t>8551159F</t>
  </si>
  <si>
    <t>C0CE94C2</t>
  </si>
  <si>
    <t>8A2010A5</t>
  </si>
  <si>
    <t>CE038D01</t>
  </si>
  <si>
    <t>69B08FE7</t>
  </si>
  <si>
    <t>4999E610</t>
  </si>
  <si>
    <t>A73EAC89</t>
  </si>
  <si>
    <t>8D553104</t>
  </si>
  <si>
    <t>69658236</t>
  </si>
  <si>
    <t>EE7D3F9C</t>
  </si>
  <si>
    <t>A8524E63</t>
  </si>
  <si>
    <t>81610DE8</t>
  </si>
  <si>
    <t>A53AB7A0</t>
  </si>
  <si>
    <t>1DBE2261</t>
  </si>
  <si>
    <t>58F6DDAC</t>
  </si>
  <si>
    <t>7A1433AD</t>
  </si>
  <si>
    <t>7CFCF9F9</t>
  </si>
  <si>
    <t>D2966CD8</t>
  </si>
  <si>
    <t>2AB749C3</t>
  </si>
  <si>
    <t>7318C20D</t>
  </si>
  <si>
    <t>16B526DE</t>
  </si>
  <si>
    <t>4B30A077</t>
  </si>
  <si>
    <t>87F75B69</t>
  </si>
  <si>
    <t>4F7C1CCA</t>
  </si>
  <si>
    <t>6E2E2D6C</t>
  </si>
  <si>
    <t>03F436C9</t>
  </si>
  <si>
    <t>AFEF93B1</t>
  </si>
  <si>
    <t>37D39265</t>
  </si>
  <si>
    <t>38DEC5DD</t>
  </si>
  <si>
    <t>62063E47</t>
  </si>
  <si>
    <t>2202B992</t>
  </si>
  <si>
    <t>8834903F</t>
  </si>
  <si>
    <t>0630EC5D</t>
  </si>
  <si>
    <t>1460CD6F</t>
  </si>
  <si>
    <t>7156F024</t>
  </si>
  <si>
    <t>0801A213</t>
  </si>
  <si>
    <t>D5A1C81F</t>
  </si>
  <si>
    <t>C55AA318</t>
  </si>
  <si>
    <t>DA56662C</t>
  </si>
  <si>
    <t>388280B1</t>
  </si>
  <si>
    <t>DC99A181</t>
  </si>
  <si>
    <t>FE3B5B36</t>
  </si>
  <si>
    <t>A450966A</t>
  </si>
  <si>
    <t>E3CE493D</t>
  </si>
  <si>
    <t>B1BC5848</t>
  </si>
  <si>
    <t>1CBFAADA</t>
  </si>
  <si>
    <t>F9C0FB1C</t>
  </si>
  <si>
    <t>63EB90C3</t>
  </si>
  <si>
    <t>9ABDEE24</t>
  </si>
  <si>
    <t>FE9DDF31</t>
  </si>
  <si>
    <t>9028EEDC</t>
  </si>
  <si>
    <t>E5FCEA3A</t>
  </si>
  <si>
    <t>86667D83</t>
  </si>
  <si>
    <t>022861EE</t>
  </si>
  <si>
    <t>4A3EF56D</t>
  </si>
  <si>
    <t>552295B7</t>
  </si>
  <si>
    <t>1B806089</t>
  </si>
  <si>
    <t>38326A93</t>
  </si>
  <si>
    <t>B960809F</t>
  </si>
  <si>
    <t>D6A426A2</t>
  </si>
  <si>
    <t>B3FFC75C</t>
  </si>
  <si>
    <t>4651BFDE</t>
  </si>
  <si>
    <t>9132C8BB</t>
  </si>
  <si>
    <t>A1A13744</t>
  </si>
  <si>
    <t>672093E7</t>
  </si>
  <si>
    <t>9A7A956F</t>
  </si>
  <si>
    <t>C4230257</t>
  </si>
  <si>
    <t>BD85A41A</t>
  </si>
  <si>
    <t>15FE6CB3</t>
  </si>
  <si>
    <t>2194B007</t>
  </si>
  <si>
    <t>F61D7B81</t>
  </si>
  <si>
    <t>36F589C7</t>
  </si>
  <si>
    <t>E489B792</t>
  </si>
  <si>
    <t>4324A8C9</t>
  </si>
  <si>
    <t>E50691DA</t>
  </si>
  <si>
    <t>AB52EF22</t>
  </si>
  <si>
    <t>7AD261A9</t>
  </si>
  <si>
    <t>514EE905</t>
  </si>
  <si>
    <t>68D1C258</t>
  </si>
  <si>
    <t>27BAC1BE</t>
  </si>
  <si>
    <t>DB74BF93</t>
  </si>
  <si>
    <t>ACD3DA4C</t>
  </si>
  <si>
    <t>7BE27E68</t>
  </si>
  <si>
    <t>5DCDBAAE</t>
  </si>
  <si>
    <t>EF3A7C50</t>
  </si>
  <si>
    <t>3D57F4E0</t>
  </si>
  <si>
    <t>B3207B8E</t>
  </si>
  <si>
    <t>20BCE290</t>
  </si>
  <si>
    <t>F7E31606</t>
  </si>
  <si>
    <t>2F115777</t>
  </si>
  <si>
    <t>48D22CC8</t>
  </si>
  <si>
    <t>195B9F5A</t>
  </si>
  <si>
    <t>54B95ADB</t>
  </si>
  <si>
    <t>4DC3314A</t>
  </si>
  <si>
    <t>A55D9038</t>
  </si>
  <si>
    <t>8FB3CEC0</t>
  </si>
  <si>
    <t>9CE2B539</t>
  </si>
  <si>
    <t>561312A2</t>
  </si>
  <si>
    <t>053E9956</t>
  </si>
  <si>
    <t>C1655E25</t>
  </si>
  <si>
    <t>CF984FC1</t>
  </si>
  <si>
    <t>BE2D6825</t>
  </si>
  <si>
    <t>15D7BB4B</t>
  </si>
  <si>
    <t>FB42FE75</t>
  </si>
  <si>
    <t>3B64B077</t>
  </si>
  <si>
    <t>9F9DB8BA</t>
  </si>
  <si>
    <t>331F69C5</t>
  </si>
  <si>
    <t>B6C40CE9</t>
  </si>
  <si>
    <t>3C714D4D</t>
  </si>
  <si>
    <t>9DDA088E</t>
  </si>
  <si>
    <t>84AD6DD7</t>
  </si>
  <si>
    <t>DDA66B38</t>
  </si>
  <si>
    <t>472B6E2B</t>
  </si>
  <si>
    <t>6F1DEA4E</t>
  </si>
  <si>
    <t>AD387B37</t>
  </si>
  <si>
    <t>34D84AAC</t>
  </si>
  <si>
    <t>FB5E0F11</t>
  </si>
  <si>
    <t>B585E43B</t>
  </si>
  <si>
    <t>C5C2396C</t>
  </si>
  <si>
    <t>AB32514C</t>
  </si>
  <si>
    <t>1B1E9FFB</t>
  </si>
  <si>
    <t>BB769EA3</t>
  </si>
  <si>
    <t>4DDA78CA</t>
  </si>
  <si>
    <t>434586F9</t>
  </si>
  <si>
    <t>9F36A4F6</t>
  </si>
  <si>
    <t>3DF4F355</t>
  </si>
  <si>
    <t>78F0072C</t>
  </si>
  <si>
    <t>80ECE806</t>
  </si>
  <si>
    <t>9689E65D</t>
  </si>
  <si>
    <t>EE8A8AB9</t>
  </si>
  <si>
    <t>B7EEB421</t>
  </si>
  <si>
    <t>7C0AF4FD</t>
  </si>
  <si>
    <t>A98F5803</t>
  </si>
  <si>
    <t>15EBA4E8</t>
  </si>
  <si>
    <t>D52A804C</t>
  </si>
  <si>
    <t>22224B3C</t>
  </si>
  <si>
    <t>373D2839</t>
  </si>
  <si>
    <t>EA436733</t>
  </si>
  <si>
    <t>9ACD7772</t>
  </si>
  <si>
    <t>EA9D8276</t>
  </si>
  <si>
    <t>0A978569</t>
  </si>
  <si>
    <t>E82E561C</t>
  </si>
  <si>
    <t>19AD2ECC</t>
  </si>
  <si>
    <t>B6B2484E</t>
  </si>
  <si>
    <t>923F6149</t>
  </si>
  <si>
    <t>A527398A</t>
  </si>
  <si>
    <t>74617F46</t>
  </si>
  <si>
    <t>EF0296C8</t>
  </si>
  <si>
    <t>B5DF4300</t>
  </si>
  <si>
    <t>78C65BD2</t>
  </si>
  <si>
    <t>0326F586</t>
  </si>
  <si>
    <t>F295CE0A</t>
  </si>
  <si>
    <t>01468413</t>
  </si>
  <si>
    <t>09873494</t>
  </si>
  <si>
    <t>0811705A</t>
  </si>
  <si>
    <t>E74FEF9D</t>
  </si>
  <si>
    <t>E9FCE937</t>
  </si>
  <si>
    <t>C85FA1FA</t>
  </si>
  <si>
    <t>4482F87C</t>
  </si>
  <si>
    <t>F2CF86FD</t>
  </si>
  <si>
    <t>9FDFE8EB</t>
  </si>
  <si>
    <t>8362DE91</t>
  </si>
  <si>
    <t>E30AA939</t>
  </si>
  <si>
    <t>8865CF19</t>
  </si>
  <si>
    <t>9CBF8EBA</t>
  </si>
  <si>
    <t>15AC33BF</t>
  </si>
  <si>
    <t>055D4F61</t>
  </si>
  <si>
    <t>2ED1C67B</t>
  </si>
  <si>
    <t>C29E6BB0</t>
  </si>
  <si>
    <t>243C1229</t>
  </si>
  <si>
    <t>A099B1AB</t>
  </si>
  <si>
    <t>F212125F</t>
  </si>
  <si>
    <t>EC7352B5</t>
  </si>
  <si>
    <t>E100DA76</t>
  </si>
  <si>
    <t>5526FCDB</t>
  </si>
  <si>
    <t>40080487</t>
  </si>
  <si>
    <t>DBECD650</t>
  </si>
  <si>
    <t>4BDF1222</t>
  </si>
  <si>
    <t>51551E3A</t>
  </si>
  <si>
    <t>B25E2A4F</t>
  </si>
  <si>
    <t>8F579A17</t>
  </si>
  <si>
    <t>0CCDAFE1</t>
  </si>
  <si>
    <t>656A35D7</t>
  </si>
  <si>
    <t>770F979E</t>
  </si>
  <si>
    <t>E7F65B56</t>
  </si>
  <si>
    <t>08D960DA</t>
  </si>
  <si>
    <t>0FECA1AA</t>
  </si>
  <si>
    <t>F18FB683</t>
  </si>
  <si>
    <t>CA9D127C</t>
  </si>
  <si>
    <t>F7714257</t>
  </si>
  <si>
    <t>E6C23ED3</t>
  </si>
  <si>
    <t>0D42F5B8</t>
  </si>
  <si>
    <t>2E9F60F9</t>
  </si>
  <si>
    <t>2A3917A8</t>
  </si>
  <si>
    <t>E9D14957</t>
  </si>
  <si>
    <t>AF6B2B2C</t>
  </si>
  <si>
    <t>70BCA647</t>
  </si>
  <si>
    <t>B01A249D</t>
  </si>
  <si>
    <t>29FA88C3</t>
  </si>
  <si>
    <t>5619704E</t>
  </si>
  <si>
    <t>B5E91ED4</t>
  </si>
  <si>
    <t>1E6B13CE</t>
  </si>
  <si>
    <t>7E7BB711</t>
  </si>
  <si>
    <t>ED0564FF</t>
  </si>
  <si>
    <t>FA486623</t>
  </si>
  <si>
    <t>E62D3C7F</t>
  </si>
  <si>
    <t>3F6A333A</t>
  </si>
  <si>
    <t>FDB3F695</t>
  </si>
  <si>
    <t>E7CDD032</t>
  </si>
  <si>
    <t>0C05C41A</t>
  </si>
  <si>
    <t>18A23A8C</t>
  </si>
  <si>
    <t>47E4D4F8</t>
  </si>
  <si>
    <t>D0AF89C4</t>
  </si>
  <si>
    <t>233522A3</t>
  </si>
  <si>
    <t>490162CE</t>
  </si>
  <si>
    <t>5D7F07B2</t>
  </si>
  <si>
    <t>98E9D0DC</t>
  </si>
  <si>
    <t>5BA20105</t>
  </si>
  <si>
    <t>80A4CCE4</t>
  </si>
  <si>
    <t>E7DF3D6C</t>
  </si>
  <si>
    <t>91C1DFE7</t>
  </si>
  <si>
    <t>6D15903F</t>
  </si>
  <si>
    <t>D6A996B2</t>
  </si>
  <si>
    <t>965A428F</t>
  </si>
  <si>
    <t>0D40839E</t>
  </si>
  <si>
    <t>BF852DBD</t>
  </si>
  <si>
    <t>CAFB7262</t>
  </si>
  <si>
    <t>C8E6E800</t>
  </si>
  <si>
    <t>F3FDC806</t>
  </si>
  <si>
    <t>E168BDF0</t>
  </si>
  <si>
    <t>5636153F</t>
  </si>
  <si>
    <t>7CBE55C0</t>
  </si>
  <si>
    <t>7BE5DD6E</t>
  </si>
  <si>
    <t>E40AFD26</t>
  </si>
  <si>
    <t>12F0BC5C</t>
  </si>
  <si>
    <t>D111140A</t>
  </si>
  <si>
    <t>F08FDC59</t>
  </si>
  <si>
    <t>456A12CC</t>
  </si>
  <si>
    <t>91958311</t>
  </si>
  <si>
    <t>F7A0B409</t>
  </si>
  <si>
    <t>Food Fiesta</t>
  </si>
  <si>
    <t>Pizza World</t>
  </si>
  <si>
    <t>Burger House</t>
  </si>
  <si>
    <t>Spice Hub</t>
  </si>
  <si>
    <t>Grill Master</t>
  </si>
  <si>
    <t>Dragon Express</t>
  </si>
  <si>
    <t>Sushi Corner</t>
  </si>
  <si>
    <t>Tandoori Tales</t>
  </si>
  <si>
    <t>Cafe Aroma</t>
  </si>
  <si>
    <t>Curry Point</t>
  </si>
  <si>
    <t>CUST9554</t>
  </si>
  <si>
    <t>CUST4637</t>
  </si>
  <si>
    <t>CUST9860</t>
  </si>
  <si>
    <t>CUST9498</t>
  </si>
  <si>
    <t>CUST4057</t>
  </si>
  <si>
    <t>CUST8717</t>
  </si>
  <si>
    <t>CUST4121</t>
  </si>
  <si>
    <t>CUST3340</t>
  </si>
  <si>
    <t>CUST6580</t>
  </si>
  <si>
    <t>CUST5985</t>
  </si>
  <si>
    <t>CUST4230</t>
  </si>
  <si>
    <t>CUST3216</t>
  </si>
  <si>
    <t>CUST6179</t>
  </si>
  <si>
    <t>CUST5642</t>
  </si>
  <si>
    <t>CUST4684</t>
  </si>
  <si>
    <t>CUST4171</t>
  </si>
  <si>
    <t>CUST7506</t>
  </si>
  <si>
    <t>CUST3213</t>
  </si>
  <si>
    <t>CUST6471</t>
  </si>
  <si>
    <t>CUST7482</t>
  </si>
  <si>
    <t>CUST3290</t>
  </si>
  <si>
    <t>CUST5822</t>
  </si>
  <si>
    <t>CUST7691</t>
  </si>
  <si>
    <t>CUST5304</t>
  </si>
  <si>
    <t>CUST6784</t>
  </si>
  <si>
    <t>CUST1280</t>
  </si>
  <si>
    <t>CUST5685</t>
  </si>
  <si>
    <t>CUST5847</t>
  </si>
  <si>
    <t>CUST3577</t>
  </si>
  <si>
    <t>CUST9452</t>
  </si>
  <si>
    <t>CUST6250</t>
  </si>
  <si>
    <t>CUST2641</t>
  </si>
  <si>
    <t>CUST3004</t>
  </si>
  <si>
    <t>CUST3173</t>
  </si>
  <si>
    <t>CUST6958</t>
  </si>
  <si>
    <t>CUST8685</t>
  </si>
  <si>
    <t>CUST4825</t>
  </si>
  <si>
    <t>CUST9961</t>
  </si>
  <si>
    <t>CUST4074</t>
  </si>
  <si>
    <t>CUST4993</t>
  </si>
  <si>
    <t>CUST8876</t>
  </si>
  <si>
    <t>CUST3574</t>
  </si>
  <si>
    <t>CUST2090</t>
  </si>
  <si>
    <t>CUST8376</t>
  </si>
  <si>
    <t>CUST2204</t>
  </si>
  <si>
    <t>CUST2728</t>
  </si>
  <si>
    <t>CUST6116</t>
  </si>
  <si>
    <t>CUST9989</t>
  </si>
  <si>
    <t>CUST6821</t>
  </si>
  <si>
    <t>CUST8941</t>
  </si>
  <si>
    <t>CUST4130</t>
  </si>
  <si>
    <t>CUST6932</t>
  </si>
  <si>
    <t>CUST9017</t>
  </si>
  <si>
    <t>CUST2411</t>
  </si>
  <si>
    <t>CUST8436</t>
  </si>
  <si>
    <t>CUST1047</t>
  </si>
  <si>
    <t>CUST6162</t>
  </si>
  <si>
    <t>CUST5520</t>
  </si>
  <si>
    <t>CUST9758</t>
  </si>
  <si>
    <t>CUST6966</t>
  </si>
  <si>
    <t>CUST2402</t>
  </si>
  <si>
    <t>CUST5059</t>
  </si>
  <si>
    <t>CUST4569</t>
  </si>
  <si>
    <t>CUST6000</t>
  </si>
  <si>
    <t>CUST6729</t>
  </si>
  <si>
    <t>CUST7088</t>
  </si>
  <si>
    <t>CUST7844</t>
  </si>
  <si>
    <t>CUST7362</t>
  </si>
  <si>
    <t>CUST4706</t>
  </si>
  <si>
    <t>CUST2733</t>
  </si>
  <si>
    <t>CUST3817</t>
  </si>
  <si>
    <t>CUST4126</t>
  </si>
  <si>
    <t>CUST2242</t>
  </si>
  <si>
    <t>CUST9617</t>
  </si>
  <si>
    <t>CUST8979</t>
  </si>
  <si>
    <t>CUST4311</t>
  </si>
  <si>
    <t>CUST5410</t>
  </si>
  <si>
    <t>CUST3359</t>
  </si>
  <si>
    <t>CUST8122</t>
  </si>
  <si>
    <t>CUST5513</t>
  </si>
  <si>
    <t>CUST7831</t>
  </si>
  <si>
    <t>CUST6074</t>
  </si>
  <si>
    <t>CUST2694</t>
  </si>
  <si>
    <t>CUST2906</t>
  </si>
  <si>
    <t>CUST1454</t>
  </si>
  <si>
    <t>CUST2002</t>
  </si>
  <si>
    <t>CUST5470</t>
  </si>
  <si>
    <t>CUST6502</t>
  </si>
  <si>
    <t>CUST6961</t>
  </si>
  <si>
    <t>CUST1547</t>
  </si>
  <si>
    <t>CUST6774</t>
  </si>
  <si>
    <t>CUST9187</t>
  </si>
  <si>
    <t>CUST7074</t>
  </si>
  <si>
    <t>CUST7752</t>
  </si>
  <si>
    <t>CUST1649</t>
  </si>
  <si>
    <t>CUST3480</t>
  </si>
  <si>
    <t>CUST2195</t>
  </si>
  <si>
    <t>CUST7451</t>
  </si>
  <si>
    <t>CUST5904</t>
  </si>
  <si>
    <t>CUST3701</t>
  </si>
  <si>
    <t>CUST2241</t>
  </si>
  <si>
    <t>CUST8779</t>
  </si>
  <si>
    <t>CUST6678</t>
  </si>
  <si>
    <t>CUST5974</t>
  </si>
  <si>
    <t>CUST3821</t>
  </si>
  <si>
    <t>CUST4908</t>
  </si>
  <si>
    <t>CUST6856</t>
  </si>
  <si>
    <t>CUST7876</t>
  </si>
  <si>
    <t>CUST2264</t>
  </si>
  <si>
    <t>CUST2420</t>
  </si>
  <si>
    <t>CUST1551</t>
  </si>
  <si>
    <t>CUST8661</t>
  </si>
  <si>
    <t>CUST7836</t>
  </si>
  <si>
    <t>CUST4736</t>
  </si>
  <si>
    <t>CUST6939</t>
  </si>
  <si>
    <t>CUST1596</t>
  </si>
  <si>
    <t>CUST7370</t>
  </si>
  <si>
    <t>CUST6082</t>
  </si>
  <si>
    <t>CUST8888</t>
  </si>
  <si>
    <t>CUST9930</t>
  </si>
  <si>
    <t>CUST5178</t>
  </si>
  <si>
    <t>CUST2520</t>
  </si>
  <si>
    <t>CUST2649</t>
  </si>
  <si>
    <t>CUST9386</t>
  </si>
  <si>
    <t>CUST1795</t>
  </si>
  <si>
    <t>CUST3697</t>
  </si>
  <si>
    <t>CUST4858</t>
  </si>
  <si>
    <t>CUST8670</t>
  </si>
  <si>
    <t>CUST6790</t>
  </si>
  <si>
    <t>CUST2859</t>
  </si>
  <si>
    <t>CUST7650</t>
  </si>
  <si>
    <t>CUST4882</t>
  </si>
  <si>
    <t>CUST7997</t>
  </si>
  <si>
    <t>CUST5813</t>
  </si>
  <si>
    <t>CUST5278</t>
  </si>
  <si>
    <t>CUST4096</t>
  </si>
  <si>
    <t>CUST4089</t>
  </si>
  <si>
    <t>CUST3076</t>
  </si>
  <si>
    <t>CUST7009</t>
  </si>
  <si>
    <t>CUST7498</t>
  </si>
  <si>
    <t>CUST1742</t>
  </si>
  <si>
    <t>CUST2334</t>
  </si>
  <si>
    <t>CUST5047</t>
  </si>
  <si>
    <t>CUST6914</t>
  </si>
  <si>
    <t>CUST6956</t>
  </si>
  <si>
    <t>CUST9113</t>
  </si>
  <si>
    <t>CUST1156</t>
  </si>
  <si>
    <t>CUST7589</t>
  </si>
  <si>
    <t>CUST7246</t>
  </si>
  <si>
    <t>CUST9898</t>
  </si>
  <si>
    <t>CUST9542</t>
  </si>
  <si>
    <t>CUST4485</t>
  </si>
  <si>
    <t>CUST4428</t>
  </si>
  <si>
    <t>CUST8764</t>
  </si>
  <si>
    <t>CUST2835</t>
  </si>
  <si>
    <t>CUST4149</t>
  </si>
  <si>
    <t>CUST9014</t>
  </si>
  <si>
    <t>CUST2376</t>
  </si>
  <si>
    <t>CUST6049</t>
  </si>
  <si>
    <t>CUST8495</t>
  </si>
  <si>
    <t>CUST2472</t>
  </si>
  <si>
    <t>CUST7336</t>
  </si>
  <si>
    <t>CUST7761</t>
  </si>
  <si>
    <t>CUST2145</t>
  </si>
  <si>
    <t>CUST9128</t>
  </si>
  <si>
    <t>CUST8657</t>
  </si>
  <si>
    <t>CUST2177</t>
  </si>
  <si>
    <t>CUST2926</t>
  </si>
  <si>
    <t>CUST7157</t>
  </si>
  <si>
    <t>CUST5480</t>
  </si>
  <si>
    <t>CUST6546</t>
  </si>
  <si>
    <t>CUST5343</t>
  </si>
  <si>
    <t>CUST7439</t>
  </si>
  <si>
    <t>CUST2689</t>
  </si>
  <si>
    <t>CUST3802</t>
  </si>
  <si>
    <t>CUST4610</t>
  </si>
  <si>
    <t>CUST2465</t>
  </si>
  <si>
    <t>CUST4497</t>
  </si>
  <si>
    <t>CUST1794</t>
  </si>
  <si>
    <t>CUST6493</t>
  </si>
  <si>
    <t>CUST2252</t>
  </si>
  <si>
    <t>CUST6394</t>
  </si>
  <si>
    <t>CUST1840</t>
  </si>
  <si>
    <t>CUST8037</t>
  </si>
  <si>
    <t>CUST2120</t>
  </si>
  <si>
    <t>CUST3984</t>
  </si>
  <si>
    <t>CUST3885</t>
  </si>
  <si>
    <t>CUST1487</t>
  </si>
  <si>
    <t>CUST2502</t>
  </si>
  <si>
    <t>CUST1817</t>
  </si>
  <si>
    <t>CUST5781</t>
  </si>
  <si>
    <t>CUST5771</t>
  </si>
  <si>
    <t>CUST2992</t>
  </si>
  <si>
    <t>CUST5882</t>
  </si>
  <si>
    <t>CUST8950</t>
  </si>
  <si>
    <t>CUST3576</t>
  </si>
  <si>
    <t>CUST5268</t>
  </si>
  <si>
    <t>CUST4575</t>
  </si>
  <si>
    <t>CUST2085</t>
  </si>
  <si>
    <t>CUST2970</t>
  </si>
  <si>
    <t>CUST5027</t>
  </si>
  <si>
    <t>CUST4202</t>
  </si>
  <si>
    <t>CUST1961</t>
  </si>
  <si>
    <t>CUST8111</t>
  </si>
  <si>
    <t>CUST5497</t>
  </si>
  <si>
    <t>CUST9981</t>
  </si>
  <si>
    <t>CUST8607</t>
  </si>
  <si>
    <t>CUST4776</t>
  </si>
  <si>
    <t>CUST9940</t>
  </si>
  <si>
    <t>CUST2034</t>
  </si>
  <si>
    <t>CUST5653</t>
  </si>
  <si>
    <t>CUST8893</t>
  </si>
  <si>
    <t>CUST3595</t>
  </si>
  <si>
    <t>CUST2874</t>
  </si>
  <si>
    <t>CUST5668</t>
  </si>
  <si>
    <t>CUST5873</t>
  </si>
  <si>
    <t>CUST3156</t>
  </si>
  <si>
    <t>CUST9387</t>
  </si>
  <si>
    <t>CUST2377</t>
  </si>
  <si>
    <t>CUST2192</t>
  </si>
  <si>
    <t>CUST5844</t>
  </si>
  <si>
    <t>CUST1720</t>
  </si>
  <si>
    <t>CUST1973</t>
  </si>
  <si>
    <t>CUST1730</t>
  </si>
  <si>
    <t>CUST6014</t>
  </si>
  <si>
    <t>CUST8909</t>
  </si>
  <si>
    <t>CUST4692</t>
  </si>
  <si>
    <t>CUST1605</t>
  </si>
  <si>
    <t>CUST5177</t>
  </si>
  <si>
    <t>CUST5846</t>
  </si>
  <si>
    <t>CUST3343</t>
  </si>
  <si>
    <t>CUST9834</t>
  </si>
  <si>
    <t>CUST5671</t>
  </si>
  <si>
    <t>CUST7493</t>
  </si>
  <si>
    <t>CUST4038</t>
  </si>
  <si>
    <t>CUST3207</t>
  </si>
  <si>
    <t>CUST7040</t>
  </si>
  <si>
    <t>CUST6634</t>
  </si>
  <si>
    <t>CUST7485</t>
  </si>
  <si>
    <t>CUST7062</t>
  </si>
  <si>
    <t>CUST7318</t>
  </si>
  <si>
    <t>CUST7731</t>
  </si>
  <si>
    <t>CUST4432</t>
  </si>
  <si>
    <t>CUST1592</t>
  </si>
  <si>
    <t>CUST7378</t>
  </si>
  <si>
    <t>CUST3580</t>
  </si>
  <si>
    <t>CUST2126</t>
  </si>
  <si>
    <t>CUST8261</t>
  </si>
  <si>
    <t>CUST6614</t>
  </si>
  <si>
    <t>CUST8523</t>
  </si>
  <si>
    <t>CUST4183</t>
  </si>
  <si>
    <t>CUST1654</t>
  </si>
  <si>
    <t>CUST1475</t>
  </si>
  <si>
    <t>CUST3445</t>
  </si>
  <si>
    <t>CUST7266</t>
  </si>
  <si>
    <t>CUST2982</t>
  </si>
  <si>
    <t>CUST3059</t>
  </si>
  <si>
    <t>CUST5711</t>
  </si>
  <si>
    <t>CUST9393</t>
  </si>
  <si>
    <t>CUST4318</t>
  </si>
  <si>
    <t>CUST5569</t>
  </si>
  <si>
    <t>CUST4234</t>
  </si>
  <si>
    <t>CUST6849</t>
  </si>
  <si>
    <t>CUST2314</t>
  </si>
  <si>
    <t>CUST7324</t>
  </si>
  <si>
    <t>CUST7700</t>
  </si>
  <si>
    <t>CUST4508</t>
  </si>
  <si>
    <t>CUST7032</t>
  </si>
  <si>
    <t>CUST1006</t>
  </si>
  <si>
    <t>CUST2505</t>
  </si>
  <si>
    <t>CUST5872</t>
  </si>
  <si>
    <t>CUST2828</t>
  </si>
  <si>
    <t>CUST6397</t>
  </si>
  <si>
    <t>CUST4117</t>
  </si>
  <si>
    <t>CUST8028</t>
  </si>
  <si>
    <t>CUST1751</t>
  </si>
  <si>
    <t>CUST9454</t>
  </si>
  <si>
    <t>CUST5355</t>
  </si>
  <si>
    <t>CUST5996</t>
  </si>
  <si>
    <t>CUST7724</t>
  </si>
  <si>
    <t>CUST5170</t>
  </si>
  <si>
    <t>CUST7553</t>
  </si>
  <si>
    <t>CUST1904</t>
  </si>
  <si>
    <t>CUST9172</t>
  </si>
  <si>
    <t>CUST3914</t>
  </si>
  <si>
    <t>CUST3056</t>
  </si>
  <si>
    <t>CUST3371</t>
  </si>
  <si>
    <t>CUST8498</t>
  </si>
  <si>
    <t>CUST7086</t>
  </si>
  <si>
    <t>CUST3679</t>
  </si>
  <si>
    <t>CUST2051</t>
  </si>
  <si>
    <t>CUST4961</t>
  </si>
  <si>
    <t>CUST1196</t>
  </si>
  <si>
    <t>CUST3318</t>
  </si>
  <si>
    <t>CUST3652</t>
  </si>
  <si>
    <t>CUST4855</t>
  </si>
  <si>
    <t>CUST8324</t>
  </si>
  <si>
    <t>CUST5596</t>
  </si>
  <si>
    <t>CUST4939</t>
  </si>
  <si>
    <t>CUST2676</t>
  </si>
  <si>
    <t>CUST9910</t>
  </si>
  <si>
    <t>CUST7927</t>
  </si>
  <si>
    <t>CUST4831</t>
  </si>
  <si>
    <t>CUST4091</t>
  </si>
  <si>
    <t>CUST7676</t>
  </si>
  <si>
    <t>CUST3540</t>
  </si>
  <si>
    <t>CUST5913</t>
  </si>
  <si>
    <t>CUST2397</t>
  </si>
  <si>
    <t>CUST8733</t>
  </si>
  <si>
    <t>CUST3811</t>
  </si>
  <si>
    <t>CUST3940</t>
  </si>
  <si>
    <t>CUST4843</t>
  </si>
  <si>
    <t>CUST8710</t>
  </si>
  <si>
    <t>CUST1267</t>
  </si>
  <si>
    <t>CUST1284</t>
  </si>
  <si>
    <t>CUST4297</t>
  </si>
  <si>
    <t>CUST2483</t>
  </si>
  <si>
    <t>CUST8674</t>
  </si>
  <si>
    <t>CUST5427</t>
  </si>
  <si>
    <t>CUST7215</t>
  </si>
  <si>
    <t>CUST5139</t>
  </si>
  <si>
    <t>CUST5204</t>
  </si>
  <si>
    <t>CUST8350</t>
  </si>
  <si>
    <t>CUST5398</t>
  </si>
  <si>
    <t>CUST9679</t>
  </si>
  <si>
    <t>CUST9252</t>
  </si>
  <si>
    <t>CUST5063</t>
  </si>
  <si>
    <t>CUST1670</t>
  </si>
  <si>
    <t>CUST7974</t>
  </si>
  <si>
    <t>CUST5646</t>
  </si>
  <si>
    <t>CUST2201</t>
  </si>
  <si>
    <t>CUST1170</t>
  </si>
  <si>
    <t>CUST2115</t>
  </si>
  <si>
    <t>CUST2653</t>
  </si>
  <si>
    <t>CUST3753</t>
  </si>
  <si>
    <t>CUST9033</t>
  </si>
  <si>
    <t>CUST9373</t>
  </si>
  <si>
    <t>CUST9106</t>
  </si>
  <si>
    <t>CUST5391</t>
  </si>
  <si>
    <t>CUST6539</t>
  </si>
  <si>
    <t>CUST9827</t>
  </si>
  <si>
    <t>CUST3592</t>
  </si>
  <si>
    <t>CUST8673</t>
  </si>
  <si>
    <t>CUST3377</t>
  </si>
  <si>
    <t>CUST8926</t>
  </si>
  <si>
    <t>CUST9964</t>
  </si>
  <si>
    <t>CUST2697</t>
  </si>
  <si>
    <t>CUST6038</t>
  </si>
  <si>
    <t>CUST4794</t>
  </si>
  <si>
    <t>CUST1425</t>
  </si>
  <si>
    <t>CUST1835</t>
  </si>
  <si>
    <t>CUST3255</t>
  </si>
  <si>
    <t>CUST3167</t>
  </si>
  <si>
    <t>CUST6875</t>
  </si>
  <si>
    <t>CUST8394</t>
  </si>
  <si>
    <t>CUST9336</t>
  </si>
  <si>
    <t>CUST7620</t>
  </si>
  <si>
    <t>CUST9057</t>
  </si>
  <si>
    <t>CUST5586</t>
  </si>
  <si>
    <t>CUST1906</t>
  </si>
  <si>
    <t>CUST5028</t>
  </si>
  <si>
    <t>CUST9895</t>
  </si>
  <si>
    <t>CUST5511</t>
  </si>
  <si>
    <t>CUST2391</t>
  </si>
  <si>
    <t>CUST9081</t>
  </si>
  <si>
    <t>CUST8797</t>
  </si>
  <si>
    <t>CUST1051</t>
  </si>
  <si>
    <t>CUST9635</t>
  </si>
  <si>
    <t>CUST2553</t>
  </si>
  <si>
    <t>CUST6187</t>
  </si>
  <si>
    <t>CUST7478</t>
  </si>
  <si>
    <t>CUST1363</t>
  </si>
  <si>
    <t>CUST1010</t>
  </si>
  <si>
    <t>CUST3756</t>
  </si>
  <si>
    <t>CUST5887</t>
  </si>
  <si>
    <t>CUST3558</t>
  </si>
  <si>
    <t>CUST6032</t>
  </si>
  <si>
    <t>CUST8112</t>
  </si>
  <si>
    <t>CUST9986</t>
  </si>
  <si>
    <t>CUST1886</t>
  </si>
  <si>
    <t>CUST5065</t>
  </si>
  <si>
    <t>CUST7687</t>
  </si>
  <si>
    <t>CUST2523</t>
  </si>
  <si>
    <t>CUST3961</t>
  </si>
  <si>
    <t>CUST7405</t>
  </si>
  <si>
    <t>CUST8919</t>
  </si>
  <si>
    <t>CUST7178</t>
  </si>
  <si>
    <t>CUST4469</t>
  </si>
  <si>
    <t>CUST6708</t>
  </si>
  <si>
    <t>CUST9718</t>
  </si>
  <si>
    <t>CUST9460</t>
  </si>
  <si>
    <t>CUST9490</t>
  </si>
  <si>
    <t>CUST7999</t>
  </si>
  <si>
    <t>CUST9325</t>
  </si>
  <si>
    <t>CUST8882</t>
  </si>
  <si>
    <t>CUST4427</t>
  </si>
  <si>
    <t>CUST5334</t>
  </si>
  <si>
    <t>CUST4688</t>
  </si>
  <si>
    <t>CUST8639</t>
  </si>
  <si>
    <t>CUST3704</t>
  </si>
  <si>
    <t>CUST2069</t>
  </si>
  <si>
    <t>CUST3252</t>
  </si>
  <si>
    <t>CUST2141</t>
  </si>
  <si>
    <t>CUST1709</t>
  </si>
  <si>
    <t>CUST1723</t>
  </si>
  <si>
    <t>CUST2220</t>
  </si>
  <si>
    <t>CUST6619</t>
  </si>
  <si>
    <t>CUST3968</t>
  </si>
  <si>
    <t>CUST1801</t>
  </si>
  <si>
    <t>CUST7049</t>
  </si>
  <si>
    <t>CUST4941</t>
  </si>
  <si>
    <t>CUST2253</t>
  </si>
  <si>
    <t>CUST4195</t>
  </si>
  <si>
    <t>CUST2729</t>
  </si>
  <si>
    <t>CUST9091</t>
  </si>
  <si>
    <t>CUST8067</t>
  </si>
  <si>
    <t>CUST6248</t>
  </si>
  <si>
    <t>CUST6811</t>
  </si>
  <si>
    <t>CUST1702</t>
  </si>
  <si>
    <t>CUST6529</t>
  </si>
  <si>
    <t>CUST5154</t>
  </si>
  <si>
    <t>CUST8426</t>
  </si>
  <si>
    <t>CUST1298</t>
  </si>
  <si>
    <t>CUST7516</t>
  </si>
  <si>
    <t>CUST5902</t>
  </si>
  <si>
    <t>CUST6955</t>
  </si>
  <si>
    <t>CUST7357</t>
  </si>
  <si>
    <t>CUST7592</t>
  </si>
  <si>
    <t>CUST7623</t>
  </si>
  <si>
    <t>CUST8326</t>
  </si>
  <si>
    <t>CUST6101</t>
  </si>
  <si>
    <t>CUST5979</t>
  </si>
  <si>
    <t>CUST9569</t>
  </si>
  <si>
    <t>CUST3402</t>
  </si>
  <si>
    <t>CUST6891</t>
  </si>
  <si>
    <t>CUST1713</t>
  </si>
  <si>
    <t>CUST2082</t>
  </si>
  <si>
    <t>CUST4772</t>
  </si>
  <si>
    <t>CUST5474</t>
  </si>
  <si>
    <t>CUST8514</t>
  </si>
  <si>
    <t>CUST7704</t>
  </si>
  <si>
    <t>CUST4509</t>
  </si>
  <si>
    <t>CUST1900</t>
  </si>
  <si>
    <t>CUST5081</t>
  </si>
  <si>
    <t>CUST2265</t>
  </si>
  <si>
    <t>CUST6005</t>
  </si>
  <si>
    <t>CUST4881</t>
  </si>
  <si>
    <t>CUST3205</t>
  </si>
  <si>
    <t>CUST9318</t>
  </si>
  <si>
    <t>CUST9781</t>
  </si>
  <si>
    <t>CUST4769</t>
  </si>
  <si>
    <t>CUST6712</t>
  </si>
  <si>
    <t>CUST6794</t>
  </si>
  <si>
    <t>CUST6834</t>
  </si>
  <si>
    <t>CUST7330</t>
  </si>
  <si>
    <t>CUST7685</t>
  </si>
  <si>
    <t>CUST5676</t>
  </si>
  <si>
    <t>CUST4182</t>
  </si>
  <si>
    <t>CUST5517</t>
  </si>
  <si>
    <t>CUST8647</t>
  </si>
  <si>
    <t>CUST3662</t>
  </si>
  <si>
    <t>CUST6830</t>
  </si>
  <si>
    <t>CUST3054</t>
  </si>
  <si>
    <t>CUST8576</t>
  </si>
  <si>
    <t>CUST9200</t>
  </si>
  <si>
    <t>CUST3628</t>
  </si>
  <si>
    <t>CUST6900</t>
  </si>
  <si>
    <t>CUST8159</t>
  </si>
  <si>
    <t>CUST6860</t>
  </si>
  <si>
    <t>CUST9696</t>
  </si>
  <si>
    <t>CUST5729</t>
  </si>
  <si>
    <t>CUST8166</t>
  </si>
  <si>
    <t>CUST5704</t>
  </si>
  <si>
    <t>CUST9185</t>
  </si>
  <si>
    <t>CUST1160</t>
  </si>
  <si>
    <t>CUST5421</t>
  </si>
  <si>
    <t>CUST1525</t>
  </si>
  <si>
    <t>CUST3918</t>
  </si>
  <si>
    <t>CUST6722</t>
  </si>
  <si>
    <t>CUST7360</t>
  </si>
  <si>
    <t>CUST3556</t>
  </si>
  <si>
    <t>CUST2171</t>
  </si>
  <si>
    <t>CUST3922</t>
  </si>
  <si>
    <t>CUST4472</t>
  </si>
  <si>
    <t>CUST5224</t>
  </si>
  <si>
    <t>CUST4357</t>
  </si>
  <si>
    <t>CUST9556</t>
  </si>
  <si>
    <t>CUST7918</t>
  </si>
  <si>
    <t>CUST3998</t>
  </si>
  <si>
    <t>CUST3970</t>
  </si>
  <si>
    <t>CUST8422</t>
  </si>
  <si>
    <t>CUST3171</t>
  </si>
  <si>
    <t>CUST2295</t>
  </si>
  <si>
    <t>CUST5319</t>
  </si>
  <si>
    <t>CUST2710</t>
  </si>
  <si>
    <t>CUST9140</t>
  </si>
  <si>
    <t>CUST9021</t>
  </si>
  <si>
    <t>CUST1770</t>
  </si>
  <si>
    <t>CUST5841</t>
  </si>
  <si>
    <t>CUST1777</t>
  </si>
  <si>
    <t>CUST3127</t>
  </si>
  <si>
    <t>CUST1357</t>
  </si>
  <si>
    <t>CUST6182</t>
  </si>
  <si>
    <t>CUST1470</t>
  </si>
  <si>
    <t>CUST7707</t>
  </si>
  <si>
    <t>CUST1980</t>
  </si>
  <si>
    <t>CUST9502</t>
  </si>
  <si>
    <t>CUST7686</t>
  </si>
  <si>
    <t>CUST9700</t>
  </si>
  <si>
    <t>CUST7877</t>
  </si>
  <si>
    <t>CUST5256</t>
  </si>
  <si>
    <t>CUST5633</t>
  </si>
  <si>
    <t>CUST7575</t>
  </si>
  <si>
    <t>CUST6407</t>
  </si>
  <si>
    <t>CUST5379</t>
  </si>
  <si>
    <t>CUST5962</t>
  </si>
  <si>
    <t>CUST9985</t>
  </si>
  <si>
    <t>CUST8296</t>
  </si>
  <si>
    <t>CUST2907</t>
  </si>
  <si>
    <t>CUST8401</t>
  </si>
  <si>
    <t>CUST4539</t>
  </si>
  <si>
    <t>CUST7524</t>
  </si>
  <si>
    <t>CUST7346</t>
  </si>
  <si>
    <t>CUST4842</t>
  </si>
  <si>
    <t>CUST6402</t>
  </si>
  <si>
    <t>CUST8338</t>
  </si>
  <si>
    <t>CUST8632</t>
  </si>
  <si>
    <t>CUST9698</t>
  </si>
  <si>
    <t>CUST3168</t>
  </si>
  <si>
    <t>CUST2216</t>
  </si>
  <si>
    <t>CUST9830</t>
  </si>
  <si>
    <t>CUST5755</t>
  </si>
  <si>
    <t>CUST3303</t>
  </si>
  <si>
    <t>CUST3726</t>
  </si>
  <si>
    <t>CUST4460</t>
  </si>
  <si>
    <t>CUST7959</t>
  </si>
  <si>
    <t>CUST6672</t>
  </si>
  <si>
    <t>CUST3096</t>
  </si>
  <si>
    <t>CUST4572</t>
  </si>
  <si>
    <t>CUST3570</t>
  </si>
  <si>
    <t>CUST1406</t>
  </si>
  <si>
    <t>CUST6405</t>
  </si>
  <si>
    <t>CUST5764</t>
  </si>
  <si>
    <t>CUST8267</t>
  </si>
  <si>
    <t>CUST9302</t>
  </si>
  <si>
    <t>CUST2142</t>
  </si>
  <si>
    <t>CUST7183</t>
  </si>
  <si>
    <t>CUST2998</t>
  </si>
  <si>
    <t>CUST4173</t>
  </si>
  <si>
    <t>CUST7993</t>
  </si>
  <si>
    <t>CUST2662</t>
  </si>
  <si>
    <t>CUST1587</t>
  </si>
  <si>
    <t>CUST1005</t>
  </si>
  <si>
    <t>CUST8586</t>
  </si>
  <si>
    <t>CUST3084</t>
  </si>
  <si>
    <t>CUST3819</t>
  </si>
  <si>
    <t>CUST8805</t>
  </si>
  <si>
    <t>CUST2532</t>
  </si>
  <si>
    <t>CUST4013</t>
  </si>
  <si>
    <t>CUST6852</t>
  </si>
  <si>
    <t>CUST4934</t>
  </si>
  <si>
    <t>CUST3325</t>
  </si>
  <si>
    <t>CUST5455</t>
  </si>
  <si>
    <t>CUST4822</t>
  </si>
  <si>
    <t>CUST2881</t>
  </si>
  <si>
    <t>CUST5700</t>
  </si>
  <si>
    <t>CUST4902</t>
  </si>
  <si>
    <t>CUST5744</t>
  </si>
  <si>
    <t>CUST2419</t>
  </si>
  <si>
    <t>CUST7256</t>
  </si>
  <si>
    <t>CUST3947</t>
  </si>
  <si>
    <t>CUST7534</t>
  </si>
  <si>
    <t>CUST5350</t>
  </si>
  <si>
    <t>CUST9320</t>
  </si>
  <si>
    <t>CUST5528</t>
  </si>
  <si>
    <t>CUST3126</t>
  </si>
  <si>
    <t>CUST2408</t>
  </si>
  <si>
    <t>CUST3065</t>
  </si>
  <si>
    <t>CUST2988</t>
  </si>
  <si>
    <t>CUST8262</t>
  </si>
  <si>
    <t>CUST8278</t>
  </si>
  <si>
    <t>CUST1643</t>
  </si>
  <si>
    <t>CUST8540</t>
  </si>
  <si>
    <t>CUST1568</t>
  </si>
  <si>
    <t>CUST5774</t>
  </si>
  <si>
    <t>CUST2015</t>
  </si>
  <si>
    <t>CUST5460</t>
  </si>
  <si>
    <t>CUST5413</t>
  </si>
  <si>
    <t>CUST2418</t>
  </si>
  <si>
    <t>CUST3967</t>
  </si>
  <si>
    <t>CUST3944</t>
  </si>
  <si>
    <t>CUST1440</t>
  </si>
  <si>
    <t>CUST3722</t>
  </si>
  <si>
    <t>CUST4821</t>
  </si>
  <si>
    <t>CUST8329</t>
  </si>
  <si>
    <t>CUST7865</t>
  </si>
  <si>
    <t>CUST2176</t>
  </si>
  <si>
    <t>CUST7401</t>
  </si>
  <si>
    <t>CUST6333</t>
  </si>
  <si>
    <t>CUST8489</t>
  </si>
  <si>
    <t>CUST2837</t>
  </si>
  <si>
    <t>CUST4140</t>
  </si>
  <si>
    <t>CUST3509</t>
  </si>
  <si>
    <t>CUST6569</t>
  </si>
  <si>
    <t>CUST5230</t>
  </si>
  <si>
    <t>CUST6107</t>
  </si>
  <si>
    <t>CUST2390</t>
  </si>
  <si>
    <t>CUST7614</t>
  </si>
  <si>
    <t>CUST1432</t>
  </si>
  <si>
    <t>CUST8487</t>
  </si>
  <si>
    <t>CUST4640</t>
  </si>
  <si>
    <t>CUST1513</t>
  </si>
  <si>
    <t>CUST8387</t>
  </si>
  <si>
    <t>CUST6894</t>
  </si>
  <si>
    <t>CUST3888</t>
  </si>
  <si>
    <t>CUST6368</t>
  </si>
  <si>
    <t>CUST1085</t>
  </si>
  <si>
    <t>CUST8203</t>
  </si>
  <si>
    <t>CUST5246</t>
  </si>
  <si>
    <t>CUST7099</t>
  </si>
  <si>
    <t>CUST6396</t>
  </si>
  <si>
    <t>CUST7566</t>
  </si>
  <si>
    <t>CUST3489</t>
  </si>
  <si>
    <t>CUST4163</t>
  </si>
  <si>
    <t>CUST1824</t>
  </si>
  <si>
    <t>CUST3472</t>
  </si>
  <si>
    <t>CUST1613</t>
  </si>
  <si>
    <t>CUST3624</t>
  </si>
  <si>
    <t>CUST6637</t>
  </si>
  <si>
    <t>CUST2151</t>
  </si>
  <si>
    <t>CUST4607</t>
  </si>
  <si>
    <t>CUST3642</t>
  </si>
  <si>
    <t>CUST1604</t>
  </si>
  <si>
    <t>CUST2958</t>
  </si>
  <si>
    <t>CUST8963</t>
  </si>
  <si>
    <t>CUST4018</t>
  </si>
  <si>
    <t>CUST1384</t>
  </si>
  <si>
    <t>CUST5560</t>
  </si>
  <si>
    <t>CUST1078</t>
  </si>
  <si>
    <t>CUST4415</t>
  </si>
  <si>
    <t>CUST4923</t>
  </si>
  <si>
    <t>CUST4347</t>
  </si>
  <si>
    <t>CUST1297</t>
  </si>
  <si>
    <t>CUST6334</t>
  </si>
  <si>
    <t>CUST2182</t>
  </si>
  <si>
    <t>CUST7124</t>
  </si>
  <si>
    <t>CUST2372</t>
  </si>
  <si>
    <t>CUST7219</t>
  </si>
  <si>
    <t>CUST3529</t>
  </si>
  <si>
    <t>CUST4119</t>
  </si>
  <si>
    <t>CUST6912</t>
  </si>
  <si>
    <t>CUST6332</t>
  </si>
  <si>
    <t>CUST3315</t>
  </si>
  <si>
    <t>CUST4714</t>
  </si>
  <si>
    <t>CUST3309</t>
  </si>
  <si>
    <t>CUST6908</t>
  </si>
  <si>
    <t>CUST7638</t>
  </si>
  <si>
    <t>CUST4766</t>
  </si>
  <si>
    <t>CUST3712</t>
  </si>
  <si>
    <t>CUST7965</t>
  </si>
  <si>
    <t>CUST5374</t>
  </si>
  <si>
    <t>CUST8458</t>
  </si>
  <si>
    <t>CUST6756</t>
  </si>
  <si>
    <t>CUST7711</t>
  </si>
  <si>
    <t>CUST1923</t>
  </si>
  <si>
    <t>CUST7858</t>
  </si>
  <si>
    <t>CUST7532</t>
  </si>
  <si>
    <t>CUST9178</t>
  </si>
  <si>
    <t>CUST3046</t>
  </si>
  <si>
    <t>CUST1483</t>
  </si>
  <si>
    <t>CUST5597</t>
  </si>
  <si>
    <t>CUST5710</t>
  </si>
  <si>
    <t>CUST5636</t>
  </si>
  <si>
    <t>CUST3721</t>
  </si>
  <si>
    <t>CUST3151</t>
  </si>
  <si>
    <t>CUST9818</t>
  </si>
  <si>
    <t>CUST1842</t>
  </si>
  <si>
    <t>CUST7175</t>
  </si>
  <si>
    <t>CUST1612</t>
  </si>
  <si>
    <t>CUST7794</t>
  </si>
  <si>
    <t>CUST6170</t>
  </si>
  <si>
    <t>CUST3513</t>
  </si>
  <si>
    <t>CUST9496</t>
  </si>
  <si>
    <t>CUST1082</t>
  </si>
  <si>
    <t>CUST8100</t>
  </si>
  <si>
    <t>CUST9036</t>
  </si>
  <si>
    <t>CUST3859</t>
  </si>
  <si>
    <t>CUST5598</t>
  </si>
  <si>
    <t>CUST7887</t>
  </si>
  <si>
    <t>CUST8080</t>
  </si>
  <si>
    <t>CUST4524</t>
  </si>
  <si>
    <t>CUST3737</t>
  </si>
  <si>
    <t>CUST9744</t>
  </si>
  <si>
    <t>CUST4896</t>
  </si>
  <si>
    <t>CUST9651</t>
  </si>
  <si>
    <t>CUST6094</t>
  </si>
  <si>
    <t>CUST1579</t>
  </si>
  <si>
    <t>CUST2961</t>
  </si>
  <si>
    <t>CUST5770</t>
  </si>
  <si>
    <t>CUST1076</t>
  </si>
  <si>
    <t>CUST1930</t>
  </si>
  <si>
    <t>CUST2014</t>
  </si>
  <si>
    <t>CUST7509</t>
  </si>
  <si>
    <t>CUST9586</t>
  </si>
  <si>
    <t>CUST4906</t>
  </si>
  <si>
    <t>CUST9681</t>
  </si>
  <si>
    <t>CUST9711</t>
  </si>
  <si>
    <t>CUST9963</t>
  </si>
  <si>
    <t>CUST5238</t>
  </si>
  <si>
    <t>CUST5803</t>
  </si>
  <si>
    <t>CUST8519</t>
  </si>
  <si>
    <t>CUST6527</t>
  </si>
  <si>
    <t>CUST9645</t>
  </si>
  <si>
    <t>CUST8087</t>
  </si>
  <si>
    <t>CUST2631</t>
  </si>
  <si>
    <t>CUST3609</t>
  </si>
  <si>
    <t>CUST1457</t>
  </si>
  <si>
    <t>CUST6766</t>
  </si>
  <si>
    <t>CUST1288</t>
  </si>
  <si>
    <t>CUST9956</t>
  </si>
  <si>
    <t>CUST4005</t>
  </si>
  <si>
    <t>CUST1350</t>
  </si>
  <si>
    <t>CUST7036</t>
  </si>
  <si>
    <t>CUST4439</t>
  </si>
  <si>
    <t>CUST3215</t>
  </si>
  <si>
    <t>CUST6069</t>
  </si>
  <si>
    <t>CUST9887</t>
  </si>
  <si>
    <t>CUST5330</t>
  </si>
  <si>
    <t>CUST6129</t>
  </si>
  <si>
    <t>CUST1402</t>
  </si>
  <si>
    <t>CUST5351</t>
  </si>
  <si>
    <t>CUST2099</t>
  </si>
  <si>
    <t>CUST6726</t>
  </si>
  <si>
    <t>CUST4642</t>
  </si>
  <si>
    <t>CUST9175</t>
  </si>
  <si>
    <t>CUST9862</t>
  </si>
  <si>
    <t>CUST5221</t>
  </si>
  <si>
    <t>CUST8686</t>
  </si>
  <si>
    <t>CUST3635</t>
  </si>
  <si>
    <t>CUST3886</t>
  </si>
  <si>
    <t>CUST2555</t>
  </si>
  <si>
    <t>CUST5009</t>
  </si>
  <si>
    <t>CUST8605</t>
  </si>
  <si>
    <t>CUST3294</t>
  </si>
  <si>
    <t>CUST6940</t>
  </si>
  <si>
    <t>CUST3931</t>
  </si>
  <si>
    <t>CUST1634</t>
  </si>
  <si>
    <t>CUST9512</t>
  </si>
  <si>
    <t>CUST4067</t>
  </si>
  <si>
    <t>CUST8046</t>
  </si>
  <si>
    <t>CUST1189</t>
  </si>
  <si>
    <t>CUST6923</t>
  </si>
  <si>
    <t>CUST5113</t>
  </si>
  <si>
    <t>CUST6747</t>
  </si>
  <si>
    <t>CUST1769</t>
  </si>
  <si>
    <t>CUST6206</t>
  </si>
  <si>
    <t>CUST2927</t>
  </si>
  <si>
    <t>CUST8616</t>
  </si>
  <si>
    <t>CUST3917</t>
  </si>
  <si>
    <t>CUST7913</t>
  </si>
  <si>
    <t>CUST5196</t>
  </si>
  <si>
    <t>CUST7471</t>
  </si>
  <si>
    <t>CUST8438</t>
  </si>
  <si>
    <t>CUST2953</t>
  </si>
  <si>
    <t>CUST4636</t>
  </si>
  <si>
    <t>CUST6573</t>
  </si>
  <si>
    <t>CUST7626</t>
  </si>
  <si>
    <t>CUST5848</t>
  </si>
  <si>
    <t>CUST4490</t>
  </si>
  <si>
    <t>CUST6029</t>
  </si>
  <si>
    <t>CUST3741</t>
  </si>
  <si>
    <t>CUST6284</t>
  </si>
  <si>
    <t>CUST4254</t>
  </si>
  <si>
    <t>CUST7600</t>
  </si>
  <si>
    <t>CUST3614</t>
  </si>
  <si>
    <t>CUST5811</t>
  </si>
  <si>
    <t>CUST3907</t>
  </si>
  <si>
    <t>CUST9840</t>
  </si>
  <si>
    <t>CUST3244</t>
  </si>
  <si>
    <t>CUST5157</t>
  </si>
  <si>
    <t>CUST4613</t>
  </si>
  <si>
    <t>CUST1023</t>
  </si>
  <si>
    <t>CUST3608</t>
  </si>
  <si>
    <t>CUST1352</t>
  </si>
  <si>
    <t>CUST6294</t>
  </si>
  <si>
    <t>CUST8896</t>
  </si>
  <si>
    <t>CUST9097</t>
  </si>
  <si>
    <t>CUST2026</t>
  </si>
  <si>
    <t>CUST5198</t>
  </si>
  <si>
    <t>CUST3014</t>
  </si>
  <si>
    <t>CUST7698</t>
  </si>
  <si>
    <t>CUST1429</t>
  </si>
  <si>
    <t>CUST4570</t>
  </si>
  <si>
    <t>CUST8475</t>
  </si>
  <si>
    <t>CUST9348</t>
  </si>
  <si>
    <t>CUST8274</t>
  </si>
  <si>
    <t>CUST1382</t>
  </si>
  <si>
    <t>CUST7563</t>
  </si>
  <si>
    <t>CUST1862</t>
  </si>
  <si>
    <t>CUST1880</t>
  </si>
  <si>
    <t>CUST7054</t>
  </si>
  <si>
    <t>CUST7934</t>
  </si>
  <si>
    <t>CUST8921</t>
  </si>
  <si>
    <t>CUST3742</t>
  </si>
  <si>
    <t>CUST3714</t>
  </si>
  <si>
    <t>CUST1682</t>
  </si>
  <si>
    <t>CUST9357</t>
  </si>
  <si>
    <t>CUST8925</t>
  </si>
  <si>
    <t>CUST5008</t>
  </si>
  <si>
    <t>CUST2720</t>
  </si>
  <si>
    <t>CUST2626</t>
  </si>
  <si>
    <t>CUST6903</t>
  </si>
  <si>
    <t>CUST4283</t>
  </si>
  <si>
    <t>CUST7961</t>
  </si>
  <si>
    <t>CUST3965</t>
  </si>
  <si>
    <t>CUST2808</t>
  </si>
  <si>
    <t>CUST7507</t>
  </si>
  <si>
    <t>CUST9753</t>
  </si>
  <si>
    <t>CUST4558</t>
  </si>
  <si>
    <t>CUST8370</t>
  </si>
  <si>
    <t>CUST9943</t>
  </si>
  <si>
    <t>CUST6628</t>
  </si>
  <si>
    <t>CUST5266</t>
  </si>
  <si>
    <t>CUST8086</t>
  </si>
  <si>
    <t>CUST4228</t>
  </si>
  <si>
    <t>CUST3384</t>
  </si>
  <si>
    <t>CUST9573</t>
  </si>
  <si>
    <t>CUST1275</t>
  </si>
  <si>
    <t>CUST2768</t>
  </si>
  <si>
    <t>CUST1733</t>
  </si>
  <si>
    <t>CUST3208</t>
  </si>
  <si>
    <t>CUST2799</t>
  </si>
  <si>
    <t>CUST6124</t>
  </si>
  <si>
    <t>CUST5208</t>
  </si>
  <si>
    <t>CUST4527</t>
  </si>
  <si>
    <t>CUST5234</t>
  </si>
  <si>
    <t>CUST5897</t>
  </si>
  <si>
    <t>CUST2526</t>
  </si>
  <si>
    <t>CUST8369</t>
  </si>
  <si>
    <t>CUST5378</t>
  </si>
  <si>
    <t>CUST2073</t>
  </si>
  <si>
    <t>CUST4540</t>
  </si>
  <si>
    <t>CUST8442</t>
  </si>
  <si>
    <t>CUST4619</t>
  </si>
  <si>
    <t>CUST8976</t>
  </si>
  <si>
    <t>CUST3058</t>
  </si>
  <si>
    <t>CUST6934</t>
  </si>
  <si>
    <t>CUST9009</t>
  </si>
  <si>
    <t>CUST1282</t>
  </si>
  <si>
    <t>CUST7204</t>
  </si>
  <si>
    <t>CUST3902</t>
  </si>
  <si>
    <t>CUST9559</t>
  </si>
  <si>
    <t>CUST6532</t>
  </si>
  <si>
    <t>CUST1210</t>
  </si>
  <si>
    <t>CUST1943</t>
  </si>
  <si>
    <t>CUST8427</t>
  </si>
  <si>
    <t>CUST9453</t>
  </si>
  <si>
    <t>CUST3863</t>
  </si>
  <si>
    <t>CUST7499</t>
  </si>
  <si>
    <t>CUST9255</t>
  </si>
  <si>
    <t>CUST2268</t>
  </si>
  <si>
    <t>CUST8994</t>
  </si>
  <si>
    <t>CUST3026</t>
  </si>
  <si>
    <t>CUST3134</t>
  </si>
  <si>
    <t>CUST3561</t>
  </si>
  <si>
    <t>CUST4924</t>
  </si>
  <si>
    <t>CUST3511</t>
  </si>
  <si>
    <t>CUST5526</t>
  </si>
  <si>
    <t>CUST1499</t>
  </si>
  <si>
    <t>CUST8493</t>
  </si>
  <si>
    <t>CUST2337</t>
  </si>
  <si>
    <t>CUST8456</t>
  </si>
  <si>
    <t>CUST4333</t>
  </si>
  <si>
    <t>CUST6177</t>
  </si>
  <si>
    <t>CUST4708</t>
  </si>
  <si>
    <t>CUST5581</t>
  </si>
  <si>
    <t>CUST9248</t>
  </si>
  <si>
    <t>CUST1138</t>
  </si>
  <si>
    <t>CUST4559</t>
  </si>
  <si>
    <t>CUST8506</t>
  </si>
  <si>
    <t>CUST3281</t>
  </si>
  <si>
    <t>CUST9582</t>
  </si>
  <si>
    <t>CUST2133</t>
  </si>
  <si>
    <t>CUST5737</t>
  </si>
  <si>
    <t>CUST4271</t>
  </si>
  <si>
    <t>CUST2672</t>
  </si>
  <si>
    <t>CUST9190</t>
  </si>
  <si>
    <t>CUST3007</t>
  </si>
  <si>
    <t>CUST6896</t>
  </si>
  <si>
    <t>CUST8409</t>
  </si>
  <si>
    <t>CUST5025</t>
  </si>
  <si>
    <t>CUST4225</t>
  </si>
  <si>
    <t>CUST4066</t>
  </si>
  <si>
    <t>CUST1381</t>
  </si>
  <si>
    <t>CUST1871</t>
  </si>
  <si>
    <t>CUST4004</t>
  </si>
  <si>
    <t>CUST2037</t>
  </si>
  <si>
    <t>CUST1739</t>
  </si>
  <si>
    <t>CUST3665</t>
  </si>
  <si>
    <t>CUST5236</t>
  </si>
  <si>
    <t>CUST7063</t>
  </si>
  <si>
    <t>CUST1757</t>
  </si>
  <si>
    <t>CUST5534</t>
  </si>
  <si>
    <t>CUST3799</t>
  </si>
  <si>
    <t>CUST3424</t>
  </si>
  <si>
    <t>CUST2249</t>
  </si>
  <si>
    <t>CUST1058</t>
  </si>
  <si>
    <t>CUST4628</t>
  </si>
  <si>
    <t>CUST1407</t>
  </si>
  <si>
    <t>CUST9836</t>
  </si>
  <si>
    <t>CUST4039</t>
  </si>
  <si>
    <t>CUST4580</t>
  </si>
  <si>
    <t>CUST7542</t>
  </si>
  <si>
    <t>CUST9743</t>
  </si>
  <si>
    <t>CUST8238</t>
  </si>
  <si>
    <t>CUST6625</t>
  </si>
  <si>
    <t>CUST5185</t>
  </si>
  <si>
    <t>CUST9980</t>
  </si>
  <si>
    <t>CUST2634</t>
  </si>
  <si>
    <t>CUST3847</t>
  </si>
  <si>
    <t>CUST2717</t>
  </si>
  <si>
    <t>CUST3214</t>
  </si>
  <si>
    <t>CUST2508</t>
  </si>
  <si>
    <t>CUST9893</t>
  </si>
  <si>
    <t>CUST8017</t>
  </si>
  <si>
    <t>CUST8712</t>
  </si>
  <si>
    <t>CUST8667</t>
  </si>
  <si>
    <t>CUST4512</t>
  </si>
  <si>
    <t>CUST5561</t>
  </si>
  <si>
    <t>CUST4730</t>
  </si>
  <si>
    <t>CUST2613</t>
  </si>
  <si>
    <t>CUST4191</t>
  </si>
  <si>
    <t>CUST6591</t>
  </si>
  <si>
    <t>CUST3398</t>
  </si>
  <si>
    <t>CUST1442</t>
  </si>
  <si>
    <t>CUST6429</t>
  </si>
  <si>
    <t>CUST8899</t>
  </si>
  <si>
    <t>CUST8206</t>
  </si>
  <si>
    <t>CUST4060</t>
  </si>
  <si>
    <t>CUST6303</t>
  </si>
  <si>
    <t>CUST2856</t>
  </si>
  <si>
    <t>CUST4515</t>
  </si>
  <si>
    <t>CUST7530</t>
  </si>
  <si>
    <t>CUST6718</t>
  </si>
  <si>
    <t>CUST8406</t>
  </si>
  <si>
    <t>CUST4196</t>
  </si>
  <si>
    <t>Sophia Brown</t>
  </si>
  <si>
    <t>John Smith</t>
  </si>
  <si>
    <t>Anita Taylor</t>
  </si>
  <si>
    <t>David Sharma</t>
  </si>
  <si>
    <t>Sara Sharma</t>
  </si>
  <si>
    <t>Sara Das</t>
  </si>
  <si>
    <t>Sara Smith</t>
  </si>
  <si>
    <t>David Brown</t>
  </si>
  <si>
    <t>Emily Garcia</t>
  </si>
  <si>
    <t>Ahmed Das</t>
  </si>
  <si>
    <t>Anita Patel</t>
  </si>
  <si>
    <t>Anita Singh</t>
  </si>
  <si>
    <t>Sophia Patel</t>
  </si>
  <si>
    <t>John Sharma</t>
  </si>
  <si>
    <t>Sophia Garcia</t>
  </si>
  <si>
    <t>Priya Brown</t>
  </si>
  <si>
    <t>Sara Patel</t>
  </si>
  <si>
    <t>Sophia Smith</t>
  </si>
  <si>
    <t>Sophia Singh</t>
  </si>
  <si>
    <t>Emily Das</t>
  </si>
  <si>
    <t>Emily Singh</t>
  </si>
  <si>
    <t>Sophia Khan</t>
  </si>
  <si>
    <t>Sara Singh</t>
  </si>
  <si>
    <t>Anita Garcia</t>
  </si>
  <si>
    <t>Sara Brown</t>
  </si>
  <si>
    <t>Priya Das</t>
  </si>
  <si>
    <t>Kumar Taylor</t>
  </si>
  <si>
    <t>John Das</t>
  </si>
  <si>
    <t>Priya Singh</t>
  </si>
  <si>
    <t>Emily Taylor</t>
  </si>
  <si>
    <t>Ahmed Singh</t>
  </si>
  <si>
    <t>Sophia Taylor</t>
  </si>
  <si>
    <t>Anita Brown</t>
  </si>
  <si>
    <t>John Lee</t>
  </si>
  <si>
    <t>Sophia Das</t>
  </si>
  <si>
    <t>Anita Khan</t>
  </si>
  <si>
    <t>Ahmed Khan</t>
  </si>
  <si>
    <t>Kumar Singh</t>
  </si>
  <si>
    <t>Priya Sharma</t>
  </si>
  <si>
    <t>Ahmed Sharma</t>
  </si>
  <si>
    <t>David Das</t>
  </si>
  <si>
    <t>Ravi Khan</t>
  </si>
  <si>
    <t>Sara Taylor</t>
  </si>
  <si>
    <t>Kumar Patel</t>
  </si>
  <si>
    <t>John Taylor</t>
  </si>
  <si>
    <t>Priya Patel</t>
  </si>
  <si>
    <t>John Patel</t>
  </si>
  <si>
    <t>John Khan</t>
  </si>
  <si>
    <t>Ahmed Brown</t>
  </si>
  <si>
    <t>Sara Garcia</t>
  </si>
  <si>
    <t>Kumar Lee</t>
  </si>
  <si>
    <t>Ahmed Smith</t>
  </si>
  <si>
    <t>Kumar Khan</t>
  </si>
  <si>
    <t>David Khan</t>
  </si>
  <si>
    <t>Sophia Lee</t>
  </si>
  <si>
    <t>Sara Lee</t>
  </si>
  <si>
    <t>Emily Khan</t>
  </si>
  <si>
    <t>Anita Das</t>
  </si>
  <si>
    <t>Anita Lee</t>
  </si>
  <si>
    <t>Priya Khan</t>
  </si>
  <si>
    <t>Emily Smith</t>
  </si>
  <si>
    <t>Priya Taylor</t>
  </si>
  <si>
    <t>Ravi Das</t>
  </si>
  <si>
    <t>Kumar Garcia</t>
  </si>
  <si>
    <t>Anita Smith</t>
  </si>
  <si>
    <t>Priya Garcia</t>
  </si>
  <si>
    <t>John Brown</t>
  </si>
  <si>
    <t>Priya Lee</t>
  </si>
  <si>
    <t>David Smith</t>
  </si>
  <si>
    <t>Ravi Taylor</t>
  </si>
  <si>
    <t>John Garcia</t>
  </si>
  <si>
    <t>Ravi Singh</t>
  </si>
  <si>
    <t>Anita Sharma</t>
  </si>
  <si>
    <t>Emily Patel</t>
  </si>
  <si>
    <t>Kumar Smith</t>
  </si>
  <si>
    <t>Priya Smith</t>
  </si>
  <si>
    <t>Ahmed Patel</t>
  </si>
  <si>
    <t>Ahmed Lee</t>
  </si>
  <si>
    <t>David Garcia</t>
  </si>
  <si>
    <t>Kumar Sharma</t>
  </si>
  <si>
    <t>Ravi Sharma</t>
  </si>
  <si>
    <t>Emily Lee</t>
  </si>
  <si>
    <t>David Singh</t>
  </si>
  <si>
    <t>David Lee</t>
  </si>
  <si>
    <t>Sophia Sharma</t>
  </si>
  <si>
    <t>Ravi Smith</t>
  </si>
  <si>
    <t>David Taylor</t>
  </si>
  <si>
    <t>Ravi Brown</t>
  </si>
  <si>
    <t>John Singh</t>
  </si>
  <si>
    <t>Emily Brown</t>
  </si>
  <si>
    <t>Ahmed Garcia</t>
  </si>
  <si>
    <t>Ravi Lee</t>
  </si>
  <si>
    <t>Kumar Das</t>
  </si>
  <si>
    <t>David Patel</t>
  </si>
  <si>
    <t>Ahmed Taylor</t>
  </si>
  <si>
    <t>Sara Khan</t>
  </si>
  <si>
    <t>Emily Sharma</t>
  </si>
  <si>
    <t>Ravi Garcia</t>
  </si>
  <si>
    <t>Kumar Brown</t>
  </si>
  <si>
    <t>Ravi Patel</t>
  </si>
  <si>
    <t>Indonesia</t>
  </si>
  <si>
    <t>New Zealand</t>
  </si>
  <si>
    <t>South Africa</t>
  </si>
  <si>
    <t>Australia</t>
  </si>
  <si>
    <t>Canada</t>
  </si>
  <si>
    <t>Qatar</t>
  </si>
  <si>
    <t>Philippines</t>
  </si>
  <si>
    <t>Brazil</t>
  </si>
  <si>
    <t>India</t>
  </si>
  <si>
    <t>Singapore</t>
  </si>
  <si>
    <t>Amritsar</t>
  </si>
  <si>
    <t>Albany</t>
  </si>
  <si>
    <t>Auckland</t>
  </si>
  <si>
    <t>Agra</t>
  </si>
  <si>
    <t>Ankara</t>
  </si>
  <si>
    <t>Athens</t>
  </si>
  <si>
    <t>Ahmedabad</t>
  </si>
  <si>
    <t>Allahabad</t>
  </si>
  <si>
    <t>Abu Dhabi</t>
  </si>
  <si>
    <t>Cafe</t>
  </si>
  <si>
    <t>North Indian, Mughlai</t>
  </si>
  <si>
    <t>Chinese</t>
  </si>
  <si>
    <t>North Indian, Chinese</t>
  </si>
  <si>
    <t>North Indian</t>
  </si>
  <si>
    <t>Tandoori Roti</t>
  </si>
  <si>
    <t>Pasta Alfredo</t>
  </si>
  <si>
    <t>Momos</t>
  </si>
  <si>
    <t>Cheeseburger</t>
  </si>
  <si>
    <t>Chicken Biryani</t>
  </si>
  <si>
    <t>Veg Biryani</t>
  </si>
  <si>
    <t>Margherita Pizza</t>
  </si>
  <si>
    <t>Shawarma</t>
  </si>
  <si>
    <t>Paneer Tikka</t>
  </si>
  <si>
    <t>Sushi Platter</t>
  </si>
  <si>
    <t>Spring Rolls</t>
  </si>
  <si>
    <t>Butter Chicken</t>
  </si>
  <si>
    <t>Masala Dosa</t>
  </si>
  <si>
    <t>Fried Rice</t>
  </si>
  <si>
    <t>Grilled Sandwich</t>
  </si>
  <si>
    <t>Total  Sales</t>
  </si>
  <si>
    <t>Row Labels</t>
  </si>
  <si>
    <t>Grand Total</t>
  </si>
  <si>
    <t>Sum of Total  Sales</t>
  </si>
  <si>
    <t>Sum of Quantity</t>
  </si>
  <si>
    <t>total sales by restaurants</t>
  </si>
  <si>
    <t>top foods by quantity</t>
  </si>
  <si>
    <t>Sum of Profit</t>
  </si>
  <si>
    <t>Profit Analysis by City</t>
  </si>
  <si>
    <t>Monthly Sales Trend</t>
  </si>
  <si>
    <t>Discount Analysis</t>
  </si>
  <si>
    <t>Sum of Discount</t>
  </si>
  <si>
    <t>Jan</t>
  </si>
  <si>
    <t>Feb</t>
  </si>
  <si>
    <t>Mar</t>
  </si>
  <si>
    <t>Apr</t>
  </si>
  <si>
    <t>May</t>
  </si>
  <si>
    <t>Jun</t>
  </si>
  <si>
    <t>Jul</t>
  </si>
  <si>
    <t>Aug</t>
  </si>
  <si>
    <t>Sep</t>
  </si>
  <si>
    <t>Oct</t>
  </si>
  <si>
    <t>Nov</t>
  </si>
  <si>
    <t>Dec</t>
  </si>
  <si>
    <t>TOTAL  COUNTRIES</t>
  </si>
  <si>
    <t>TOTL SALES</t>
  </si>
  <si>
    <t>TOTAL PROFIT</t>
  </si>
  <si>
    <t>AVERAGE COST FOR TWO (USD)</t>
  </si>
  <si>
    <t>AVERAGE RATINGS</t>
  </si>
  <si>
    <t>TOTAL  SALES</t>
  </si>
  <si>
    <t xml:space="preserve"> AVERAGE  RATINGS</t>
  </si>
  <si>
    <t>AVERAGE  COST</t>
  </si>
  <si>
    <t>Column1</t>
  </si>
  <si>
    <t>Column2</t>
  </si>
  <si>
    <t xml:space="preserve"> </t>
  </si>
  <si>
    <t>TOTAL ORDERS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</si>
</sst>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7" x14ac:knownFonts="1">
    <font>
      <sz val="11"/>
      <color theme="1"/>
      <name val="Calibri"/>
      <family val="2"/>
      <scheme val="minor"/>
    </font>
    <font>
      <b/>
      <sz val="14"/>
      <color theme="1"/>
      <name val="Calibri"/>
      <family val="2"/>
      <scheme val="minor"/>
    </font>
    <font>
      <b/>
      <sz val="16"/>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sz val="11"/>
      <color rgb="FFC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3">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2" fillId="0" borderId="0" xfId="0" applyFont="1"/>
    <xf numFmtId="0" fontId="1" fillId="0" borderId="0" xfId="0" applyFont="1"/>
    <xf numFmtId="164" fontId="1" fillId="0" borderId="0" xfId="0" applyNumberFormat="1" applyFont="1"/>
    <xf numFmtId="0" fontId="3" fillId="0" borderId="0" xfId="0" applyFont="1"/>
    <xf numFmtId="0" fontId="4" fillId="0" borderId="0" xfId="0" applyFont="1"/>
    <xf numFmtId="164" fontId="0" fillId="0" borderId="0" xfId="0" applyNumberFormat="1"/>
    <xf numFmtId="0" fontId="5" fillId="2" borderId="0" xfId="0" applyFont="1" applyFill="1"/>
    <xf numFmtId="0" fontId="6" fillId="3" borderId="0" xfId="0" applyFont="1" applyFill="1"/>
  </cellXfs>
  <cellStyles count="1">
    <cellStyle name="Normal" xfId="0" builtinId="0"/>
  </cellStyles>
  <dxfs count="1">
    <dxf>
      <numFmt numFmtId="19" formatCode="m/d/yyyy"/>
    </dxf>
  </dxfs>
  <tableStyles count="0" defaultTableStyle="TableStyleMedium9" defaultPivotStyle="PivotStyleLight16"/>
  <colors>
    <mruColors>
      <color rgb="FF111111"/>
      <color rgb="FF000000"/>
      <color rgb="FFFF7D7D"/>
      <color rgb="FF800000"/>
      <color rgb="FFFF0101"/>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DASHBOARD - EXCEL.xlsx]Sheet2!PivotTable1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solidFill>
              </a:rPr>
              <a:t>Total  Sales By Restaurants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solidFill>
              <a:schemeClr val="tx1"/>
            </a:solidFill>
          </a:ln>
          <a:effectLst>
            <a:outerShdw blurRad="40000" dist="23000" dir="1380000" sx="1000" sy="1000" rotWithShape="0">
              <a:srgbClr val="000000"/>
            </a:outerShdw>
          </a:effectLst>
          <a:scene3d>
            <a:camera prst="orthographicFront"/>
            <a:lightRig rig="threePt" dir="t">
              <a:rot lat="0" lon="0" rev="1200000"/>
            </a:lightRig>
          </a:scene3d>
          <a:sp3d>
            <a:bevelT w="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2708201620783"/>
          <c:y val="0.20988570497846953"/>
          <c:w val="0.79984347759449781"/>
          <c:h val="0.79011429502153052"/>
        </c:manualLayout>
      </c:layout>
      <c:barChart>
        <c:barDir val="bar"/>
        <c:grouping val="clustered"/>
        <c:varyColors val="0"/>
        <c:ser>
          <c:idx val="0"/>
          <c:order val="0"/>
          <c:tx>
            <c:strRef>
              <c:f>Sheet2!$B$3</c:f>
              <c:strCache>
                <c:ptCount val="1"/>
                <c:pt idx="0">
                  <c:v>Total</c:v>
                </c:pt>
              </c:strCache>
            </c:strRef>
          </c:tx>
          <c:spPr>
            <a:solidFill>
              <a:schemeClr val="tx2"/>
            </a:solidFill>
            <a:ln>
              <a:solidFill>
                <a:schemeClr val="tx1"/>
              </a:solidFill>
            </a:ln>
            <a:effectLst>
              <a:outerShdw blurRad="40000" dist="23000" dir="1380000" sx="1000" sy="1000" rotWithShape="0">
                <a:srgbClr val="000000"/>
              </a:outerShdw>
            </a:effectLst>
            <a:scene3d>
              <a:camera prst="orthographicFront"/>
              <a:lightRig rig="threePt" dir="t">
                <a:rot lat="0" lon="0" rev="1200000"/>
              </a:lightRig>
            </a:scene3d>
            <a:sp3d>
              <a:bevelT w="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Burger House</c:v>
                </c:pt>
                <c:pt idx="1">
                  <c:v>Cafe Aroma</c:v>
                </c:pt>
                <c:pt idx="2">
                  <c:v>Curry Point</c:v>
                </c:pt>
                <c:pt idx="3">
                  <c:v>Dragon Express</c:v>
                </c:pt>
                <c:pt idx="4">
                  <c:v>Food Fiesta</c:v>
                </c:pt>
                <c:pt idx="5">
                  <c:v>Grill Master</c:v>
                </c:pt>
                <c:pt idx="6">
                  <c:v>Pizza World</c:v>
                </c:pt>
                <c:pt idx="7">
                  <c:v>Spice Hub</c:v>
                </c:pt>
                <c:pt idx="8">
                  <c:v>Sushi Corner</c:v>
                </c:pt>
                <c:pt idx="9">
                  <c:v>Tandoori Tales</c:v>
                </c:pt>
              </c:strCache>
            </c:strRef>
          </c:cat>
          <c:val>
            <c:numRef>
              <c:f>Sheet2!$B$4:$B$14</c:f>
              <c:numCache>
                <c:formatCode>General</c:formatCode>
                <c:ptCount val="10"/>
                <c:pt idx="0">
                  <c:v>75530.329999999987</c:v>
                </c:pt>
                <c:pt idx="1">
                  <c:v>68851.92</c:v>
                </c:pt>
                <c:pt idx="2">
                  <c:v>76179.49000000002</c:v>
                </c:pt>
                <c:pt idx="3">
                  <c:v>86214.87999999999</c:v>
                </c:pt>
                <c:pt idx="4">
                  <c:v>69913.349999999991</c:v>
                </c:pt>
                <c:pt idx="5">
                  <c:v>61365.810000000012</c:v>
                </c:pt>
                <c:pt idx="6">
                  <c:v>68447.06</c:v>
                </c:pt>
                <c:pt idx="7">
                  <c:v>70336.459999999963</c:v>
                </c:pt>
                <c:pt idx="8">
                  <c:v>96204.55</c:v>
                </c:pt>
                <c:pt idx="9">
                  <c:v>62408.35</c:v>
                </c:pt>
              </c:numCache>
            </c:numRef>
          </c:val>
        </c:ser>
        <c:dLbls>
          <c:dLblPos val="outEnd"/>
          <c:showLegendKey val="0"/>
          <c:showVal val="1"/>
          <c:showCatName val="0"/>
          <c:showSerName val="0"/>
          <c:showPercent val="0"/>
          <c:showBubbleSize val="0"/>
        </c:dLbls>
        <c:gapWidth val="115"/>
        <c:overlap val="-20"/>
        <c:axId val="-1263402240"/>
        <c:axId val="-1263397344"/>
      </c:barChart>
      <c:catAx>
        <c:axId val="-1263402240"/>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3397344"/>
        <c:crosses val="autoZero"/>
        <c:auto val="1"/>
        <c:lblAlgn val="ctr"/>
        <c:lblOffset val="100"/>
        <c:noMultiLvlLbl val="0"/>
      </c:catAx>
      <c:valAx>
        <c:axId val="-1263397344"/>
        <c:scaling>
          <c:orientation val="minMax"/>
        </c:scaling>
        <c:delete val="1"/>
        <c:axPos val="b"/>
        <c:numFmt formatCode="General" sourceLinked="1"/>
        <c:majorTickMark val="none"/>
        <c:minorTickMark val="none"/>
        <c:tickLblPos val="nextTo"/>
        <c:crossAx val="-1263402240"/>
        <c:crosses val="autoZero"/>
        <c:crossBetween val="between"/>
      </c:valAx>
      <c:spPr>
        <a:noFill/>
        <a:ln>
          <a:noFill/>
        </a:ln>
        <a:effectLst/>
      </c:spPr>
    </c:plotArea>
    <c:plotVisOnly val="1"/>
    <c:dispBlanksAs val="gap"/>
    <c:showDLblsOverMax val="0"/>
  </c:chart>
  <c:spPr>
    <a:solidFill>
      <a:srgbClr val="C00000"/>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DASHBOARD - EXCEL.xlsx]Sheet2!PivotTable2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FOOD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57403118727809E-2"/>
          <c:y val="0.24560451022174662"/>
          <c:w val="0.86521019247594055"/>
          <c:h val="0.35199693788276465"/>
        </c:manualLayout>
      </c:layout>
      <c:barChart>
        <c:barDir val="col"/>
        <c:grouping val="clustered"/>
        <c:varyColors val="0"/>
        <c:ser>
          <c:idx val="0"/>
          <c:order val="0"/>
          <c:tx>
            <c:strRef>
              <c:f>Sheet2!$F$3</c:f>
              <c:strCache>
                <c:ptCount val="1"/>
                <c:pt idx="0">
                  <c:v>Total</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Sheet2!$E$4:$E$19</c:f>
              <c:strCache>
                <c:ptCount val="15"/>
                <c:pt idx="0">
                  <c:v>Butter Chicken</c:v>
                </c:pt>
                <c:pt idx="1">
                  <c:v>Cheeseburger</c:v>
                </c:pt>
                <c:pt idx="2">
                  <c:v>Chicken Biryani</c:v>
                </c:pt>
                <c:pt idx="3">
                  <c:v>Fried Rice</c:v>
                </c:pt>
                <c:pt idx="4">
                  <c:v>Grilled Sandwich</c:v>
                </c:pt>
                <c:pt idx="5">
                  <c:v>Margherita Pizza</c:v>
                </c:pt>
                <c:pt idx="6">
                  <c:v>Masala Dosa</c:v>
                </c:pt>
                <c:pt idx="7">
                  <c:v>Momos</c:v>
                </c:pt>
                <c:pt idx="8">
                  <c:v>Paneer Tikka</c:v>
                </c:pt>
                <c:pt idx="9">
                  <c:v>Pasta Alfredo</c:v>
                </c:pt>
                <c:pt idx="10">
                  <c:v>Shawarma</c:v>
                </c:pt>
                <c:pt idx="11">
                  <c:v>Spring Rolls</c:v>
                </c:pt>
                <c:pt idx="12">
                  <c:v>Sushi Platter</c:v>
                </c:pt>
                <c:pt idx="13">
                  <c:v>Tandoori Roti</c:v>
                </c:pt>
                <c:pt idx="14">
                  <c:v>Veg Biryani</c:v>
                </c:pt>
              </c:strCache>
            </c:strRef>
          </c:cat>
          <c:val>
            <c:numRef>
              <c:f>Sheet2!$F$4:$F$19</c:f>
              <c:numCache>
                <c:formatCode>General</c:formatCode>
                <c:ptCount val="15"/>
                <c:pt idx="0">
                  <c:v>160</c:v>
                </c:pt>
                <c:pt idx="1">
                  <c:v>242</c:v>
                </c:pt>
                <c:pt idx="2">
                  <c:v>172</c:v>
                </c:pt>
                <c:pt idx="3">
                  <c:v>196</c:v>
                </c:pt>
                <c:pt idx="4">
                  <c:v>243</c:v>
                </c:pt>
                <c:pt idx="5">
                  <c:v>217</c:v>
                </c:pt>
                <c:pt idx="6">
                  <c:v>194</c:v>
                </c:pt>
                <c:pt idx="7">
                  <c:v>172</c:v>
                </c:pt>
                <c:pt idx="8">
                  <c:v>240</c:v>
                </c:pt>
                <c:pt idx="9">
                  <c:v>268</c:v>
                </c:pt>
                <c:pt idx="10">
                  <c:v>158</c:v>
                </c:pt>
                <c:pt idx="11">
                  <c:v>184</c:v>
                </c:pt>
                <c:pt idx="12">
                  <c:v>176</c:v>
                </c:pt>
                <c:pt idx="13">
                  <c:v>205</c:v>
                </c:pt>
                <c:pt idx="14">
                  <c:v>235</c:v>
                </c:pt>
              </c:numCache>
            </c:numRef>
          </c:val>
        </c:ser>
        <c:dLbls>
          <c:dLblPos val="outEnd"/>
          <c:showLegendKey val="0"/>
          <c:showVal val="1"/>
          <c:showCatName val="0"/>
          <c:showSerName val="0"/>
          <c:showPercent val="0"/>
          <c:showBubbleSize val="0"/>
        </c:dLbls>
        <c:gapWidth val="221"/>
        <c:overlap val="-2"/>
        <c:axId val="-1263394624"/>
        <c:axId val="-1263394080"/>
      </c:barChart>
      <c:catAx>
        <c:axId val="-1263394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394080"/>
        <c:crosses val="autoZero"/>
        <c:auto val="1"/>
        <c:lblAlgn val="ctr"/>
        <c:lblOffset val="100"/>
        <c:noMultiLvlLbl val="0"/>
      </c:catAx>
      <c:valAx>
        <c:axId val="-1263394080"/>
        <c:scaling>
          <c:orientation val="minMax"/>
        </c:scaling>
        <c:delete val="1"/>
        <c:axPos val="l"/>
        <c:numFmt formatCode="General" sourceLinked="1"/>
        <c:majorTickMark val="out"/>
        <c:minorTickMark val="none"/>
        <c:tickLblPos val="nextTo"/>
        <c:crossAx val="-1263394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[ZOMATO ANALYSIS DASHBOARD - EXCEL.xlsx]Sheet2!PivotTable3</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PROFIT ANALYSIS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s>
    <c:plotArea>
      <c:layout/>
      <c:doughnutChart>
        <c:varyColors val="1"/>
        <c:ser>
          <c:idx val="0"/>
          <c:order val="0"/>
          <c:tx>
            <c:strRef>
              <c:f>Sheet2!$C$29</c:f>
              <c:strCache>
                <c:ptCount val="1"/>
                <c:pt idx="0">
                  <c:v>Total</c:v>
                </c:pt>
              </c:strCache>
            </c:strRef>
          </c:tx>
          <c:dPt>
            <c:idx val="0"/>
            <c:bubble3D val="0"/>
            <c:spPr>
              <a:solidFill>
                <a:schemeClr val="dk1">
                  <a:tint val="88500"/>
                </a:schemeClr>
              </a:solidFill>
              <a:ln w="19050">
                <a:solidFill>
                  <a:schemeClr val="lt1"/>
                </a:solidFill>
              </a:ln>
              <a:effectLst/>
            </c:spPr>
          </c:dPt>
          <c:dPt>
            <c:idx val="1"/>
            <c:bubble3D val="0"/>
            <c:spPr>
              <a:solidFill>
                <a:schemeClr val="dk1">
                  <a:tint val="55000"/>
                </a:schemeClr>
              </a:solidFill>
              <a:ln w="19050">
                <a:solidFill>
                  <a:schemeClr val="lt1"/>
                </a:solidFill>
              </a:ln>
              <a:effectLst/>
            </c:spPr>
          </c:dPt>
          <c:dPt>
            <c:idx val="2"/>
            <c:bubble3D val="0"/>
            <c:spPr>
              <a:solidFill>
                <a:schemeClr val="dk1">
                  <a:tint val="75000"/>
                </a:schemeClr>
              </a:solidFill>
              <a:ln w="19050">
                <a:solidFill>
                  <a:schemeClr val="lt1"/>
                </a:solidFill>
              </a:ln>
              <a:effectLst/>
            </c:spPr>
          </c:dPt>
          <c:dPt>
            <c:idx val="3"/>
            <c:bubble3D val="0"/>
            <c:spPr>
              <a:solidFill>
                <a:schemeClr val="dk1">
                  <a:tint val="98500"/>
                </a:schemeClr>
              </a:solidFill>
              <a:ln w="19050">
                <a:solidFill>
                  <a:schemeClr val="lt1"/>
                </a:solidFill>
              </a:ln>
              <a:effectLst/>
            </c:spPr>
          </c:dPt>
          <c:dPt>
            <c:idx val="4"/>
            <c:bubble3D val="0"/>
            <c:spPr>
              <a:solidFill>
                <a:schemeClr val="dk1">
                  <a:tint val="30000"/>
                </a:schemeClr>
              </a:solidFill>
              <a:ln w="19050">
                <a:solidFill>
                  <a:schemeClr val="lt1"/>
                </a:solidFill>
              </a:ln>
              <a:effectLst/>
            </c:spPr>
          </c:dPt>
          <c:dPt>
            <c:idx val="5"/>
            <c:bubble3D val="0"/>
            <c:spPr>
              <a:solidFill>
                <a:schemeClr val="dk1">
                  <a:tint val="60000"/>
                </a:schemeClr>
              </a:solidFill>
              <a:ln w="19050">
                <a:solidFill>
                  <a:schemeClr val="lt1"/>
                </a:solidFill>
              </a:ln>
              <a:effectLst/>
            </c:spPr>
          </c:dPt>
          <c:dPt>
            <c:idx val="6"/>
            <c:bubble3D val="0"/>
            <c:spPr>
              <a:solidFill>
                <a:schemeClr val="dk1">
                  <a:tint val="80000"/>
                </a:schemeClr>
              </a:solidFill>
              <a:ln w="19050">
                <a:solidFill>
                  <a:schemeClr val="lt1"/>
                </a:solidFill>
              </a:ln>
              <a:effectLst/>
            </c:spPr>
          </c:dPt>
          <c:dPt>
            <c:idx val="7"/>
            <c:bubble3D val="0"/>
            <c:spPr>
              <a:solidFill>
                <a:schemeClr val="dk1">
                  <a:tint val="88500"/>
                </a:schemeClr>
              </a:solidFill>
              <a:ln w="19050">
                <a:solidFill>
                  <a:schemeClr val="lt1"/>
                </a:solidFill>
              </a:ln>
              <a:effectLst/>
            </c:spPr>
          </c:dPt>
          <c:dPt>
            <c:idx val="8"/>
            <c:bubble3D val="0"/>
            <c:spPr>
              <a:solidFill>
                <a:schemeClr val="dk1">
                  <a:tint val="55000"/>
                </a:schemeClr>
              </a:solidFill>
              <a:ln w="19050">
                <a:solidFill>
                  <a:schemeClr val="lt1"/>
                </a:solidFill>
              </a:ln>
              <a:effectLst/>
            </c:spPr>
          </c:dPt>
          <c:cat>
            <c:strRef>
              <c:f>Sheet2!$B$30:$B$39</c:f>
              <c:strCache>
                <c:ptCount val="9"/>
                <c:pt idx="0">
                  <c:v>Abu Dhabi</c:v>
                </c:pt>
                <c:pt idx="1">
                  <c:v>Agra</c:v>
                </c:pt>
                <c:pt idx="2">
                  <c:v>Ahmedabad</c:v>
                </c:pt>
                <c:pt idx="3">
                  <c:v>Albany</c:v>
                </c:pt>
                <c:pt idx="4">
                  <c:v>Allahabad</c:v>
                </c:pt>
                <c:pt idx="5">
                  <c:v>Amritsar</c:v>
                </c:pt>
                <c:pt idx="6">
                  <c:v>Ankara</c:v>
                </c:pt>
                <c:pt idx="7">
                  <c:v>Athens</c:v>
                </c:pt>
                <c:pt idx="8">
                  <c:v>Auckland</c:v>
                </c:pt>
              </c:strCache>
            </c:strRef>
          </c:cat>
          <c:val>
            <c:numRef>
              <c:f>Sheet2!$C$30:$C$39</c:f>
              <c:numCache>
                <c:formatCode>General</c:formatCode>
                <c:ptCount val="9"/>
                <c:pt idx="0">
                  <c:v>82383.37999999999</c:v>
                </c:pt>
                <c:pt idx="1">
                  <c:v>84132.320000000022</c:v>
                </c:pt>
                <c:pt idx="2">
                  <c:v>86041.200000000026</c:v>
                </c:pt>
                <c:pt idx="3">
                  <c:v>79868.039999999979</c:v>
                </c:pt>
                <c:pt idx="4">
                  <c:v>68952.400000000009</c:v>
                </c:pt>
                <c:pt idx="5">
                  <c:v>84036.6</c:v>
                </c:pt>
                <c:pt idx="6">
                  <c:v>84643.25</c:v>
                </c:pt>
                <c:pt idx="7">
                  <c:v>60378.760000000024</c:v>
                </c:pt>
                <c:pt idx="8">
                  <c:v>99964.79</c:v>
                </c:pt>
              </c:numCache>
            </c:numRef>
          </c:val>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DASHBOARD - EXCEL.xlsx]Sheet2!PivotTable4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MONTHLY</a:t>
            </a:r>
            <a:r>
              <a:rPr lang="en-US" baseline="0">
                <a:solidFill>
                  <a:schemeClr val="tx1"/>
                </a:solidFill>
              </a:rPr>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tx1"/>
            </a:solidFill>
            <a:round/>
          </a:ln>
          <a:effectLst/>
        </c:spPr>
        <c:marker>
          <c:symbol val="none"/>
        </c:marker>
      </c:pivotFmt>
    </c:pivotFmts>
    <c:plotArea>
      <c:layout>
        <c:manualLayout>
          <c:layoutTarget val="inner"/>
          <c:xMode val="edge"/>
          <c:yMode val="edge"/>
          <c:x val="0.12632036062323965"/>
          <c:y val="0.18490935846284018"/>
          <c:w val="0.8736796393767603"/>
          <c:h val="0.73514219752196419"/>
        </c:manualLayout>
      </c:layout>
      <c:lineChart>
        <c:grouping val="standard"/>
        <c:varyColors val="0"/>
        <c:ser>
          <c:idx val="0"/>
          <c:order val="0"/>
          <c:tx>
            <c:strRef>
              <c:f>Sheet2!$G$31</c:f>
              <c:strCache>
                <c:ptCount val="1"/>
                <c:pt idx="0">
                  <c:v>Total</c:v>
                </c:pt>
              </c:strCache>
            </c:strRef>
          </c:tx>
          <c:spPr>
            <a:ln w="28575" cap="rnd">
              <a:solidFill>
                <a:schemeClr val="tx1"/>
              </a:solidFill>
              <a:round/>
            </a:ln>
            <a:effectLst/>
          </c:spPr>
          <c:marker>
            <c:symbol val="none"/>
          </c:marker>
          <c:cat>
            <c:strRef>
              <c:f>Sheet2!$F$32:$F$44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Sheet2!$G$32:$G$44</c:f>
              <c:numCache>
                <c:formatCode>General</c:formatCode>
                <c:ptCount val="12"/>
                <c:pt idx="0">
                  <c:v>59013.530000000021</c:v>
                </c:pt>
                <c:pt idx="1">
                  <c:v>50880.27</c:v>
                </c:pt>
                <c:pt idx="2">
                  <c:v>76460.780000000028</c:v>
                </c:pt>
                <c:pt idx="3">
                  <c:v>49466.549999999996</c:v>
                </c:pt>
                <c:pt idx="4">
                  <c:v>62445.860000000015</c:v>
                </c:pt>
                <c:pt idx="5">
                  <c:v>57857.410000000011</c:v>
                </c:pt>
                <c:pt idx="6">
                  <c:v>63298.460000000021</c:v>
                </c:pt>
                <c:pt idx="7">
                  <c:v>66375.329999999973</c:v>
                </c:pt>
                <c:pt idx="8">
                  <c:v>79488.870000000039</c:v>
                </c:pt>
                <c:pt idx="9">
                  <c:v>56265.279999999999</c:v>
                </c:pt>
                <c:pt idx="10">
                  <c:v>55038.49</c:v>
                </c:pt>
                <c:pt idx="11">
                  <c:v>58861.37000000001</c:v>
                </c:pt>
              </c:numCache>
            </c:numRef>
          </c:val>
          <c:smooth val="0"/>
        </c:ser>
        <c:dLbls>
          <c:showLegendKey val="0"/>
          <c:showVal val="0"/>
          <c:showCatName val="0"/>
          <c:showSerName val="0"/>
          <c:showPercent val="0"/>
          <c:showBubbleSize val="0"/>
        </c:dLbls>
        <c:smooth val="0"/>
        <c:axId val="-1263392992"/>
        <c:axId val="-1263404416"/>
      </c:lineChart>
      <c:catAx>
        <c:axId val="-1263392992"/>
        <c:scaling>
          <c:orientation val="minMax"/>
        </c:scaling>
        <c:delete val="0"/>
        <c:axPos val="b"/>
        <c:numFmt formatCode="General" sourceLinked="1"/>
        <c:majorTickMark val="none"/>
        <c:minorTickMark val="none"/>
        <c:tickLblPos val="nextTo"/>
        <c:spPr>
          <a:noFill/>
          <a:ln w="9525" cap="flat" cmpd="sng" algn="ctr">
            <a:noFill/>
            <a:round/>
          </a:ln>
          <a:effectLst>
            <a:softEdge rad="0"/>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3404416"/>
        <c:crosses val="autoZero"/>
        <c:auto val="1"/>
        <c:lblAlgn val="ctr"/>
        <c:lblOffset val="100"/>
        <c:noMultiLvlLbl val="0"/>
      </c:catAx>
      <c:valAx>
        <c:axId val="-1263404416"/>
        <c:scaling>
          <c:orientation val="minMax"/>
        </c:scaling>
        <c:delete val="0"/>
        <c:axPos val="l"/>
        <c:numFmt formatCode="General" sourceLinked="1"/>
        <c:majorTickMark val="none"/>
        <c:minorTickMark val="none"/>
        <c:tickLblPos val="nextTo"/>
        <c:spPr>
          <a:noFill/>
          <a:ln>
            <a:noFill/>
          </a:ln>
          <a:effectLst>
            <a:glow rad="127000">
              <a:schemeClr val="bg1"/>
            </a:glow>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3392992"/>
        <c:crosses val="autoZero"/>
        <c:crossBetween val="between"/>
      </c:valAx>
      <c:spPr>
        <a:solidFill>
          <a:schemeClr val="accent6">
            <a:lumMod val="50000"/>
          </a:schemeClr>
        </a:solidFill>
        <a:ln>
          <a:noFill/>
        </a:ln>
        <a:effectLst/>
      </c:spPr>
    </c:plotArea>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DASHBOARD - EXCEL.xlsx]Sheet2!PivotTable5</c:name>
    <c:fmtId val="28"/>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solidFill>
                  <a:schemeClr val="tx1"/>
                </a:solidFill>
              </a:rPr>
              <a:t>DISCOUNT ANALYSIS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ln w="34925" cap="rnd">
            <a:solidFill>
              <a:schemeClr val="tx1"/>
            </a:solidFill>
            <a:round/>
          </a:ln>
          <a:effectLst>
            <a:outerShdw dist="25400" dir="2700000" algn="tl" rotWithShape="0">
              <a:schemeClr val="tx1"/>
            </a:outerShdw>
          </a:effectLst>
        </c:spPr>
        <c:marker>
          <c:symbol val="circle"/>
          <c:size val="5"/>
          <c:spPr>
            <a:solidFill>
              <a:schemeClr val="tx1"/>
            </a:solidFill>
            <a:ln w="22225">
              <a:solidFill>
                <a:schemeClr val="bg1"/>
              </a:solidFill>
              <a:round/>
            </a:ln>
            <a:effectLst>
              <a:outerShdw dist="25400" dir="2700000" algn="tl" rotWithShape="0">
                <a:schemeClr val="tx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780292722074108E-3"/>
          <c:y val="0.16852852852852854"/>
          <c:w val="0.95074167800571852"/>
          <c:h val="0.71462139304658989"/>
        </c:manualLayout>
      </c:layout>
      <c:lineChart>
        <c:grouping val="standard"/>
        <c:varyColors val="0"/>
        <c:ser>
          <c:idx val="0"/>
          <c:order val="0"/>
          <c:tx>
            <c:strRef>
              <c:f>Sheet2!$M$28</c:f>
              <c:strCache>
                <c:ptCount val="1"/>
                <c:pt idx="0">
                  <c:v>Total</c:v>
                </c:pt>
              </c:strCache>
            </c:strRef>
          </c:tx>
          <c:spPr>
            <a:ln w="34925" cap="rnd">
              <a:solidFill>
                <a:schemeClr val="tx1"/>
              </a:solidFill>
              <a:round/>
            </a:ln>
            <a:effectLst>
              <a:outerShdw dist="25400" dir="2700000" algn="tl" rotWithShape="0">
                <a:schemeClr val="tx1"/>
              </a:outerShdw>
            </a:effectLst>
          </c:spPr>
          <c:marker>
            <c:symbol val="circle"/>
            <c:size val="5"/>
            <c:spPr>
              <a:solidFill>
                <a:schemeClr val="tx1"/>
              </a:solidFill>
              <a:ln w="22225">
                <a:solidFill>
                  <a:schemeClr val="bg1"/>
                </a:solidFill>
                <a:round/>
              </a:ln>
              <a:effectLst>
                <a:outerShdw dist="25400" dir="2700000" algn="tl" rotWithShape="0">
                  <a:schemeClr val="tx1"/>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Sheet2!$L$29:$L$39</c:f>
              <c:strCache>
                <c:ptCount val="10"/>
                <c:pt idx="0">
                  <c:v>Burger House</c:v>
                </c:pt>
                <c:pt idx="1">
                  <c:v>Cafe Aroma</c:v>
                </c:pt>
                <c:pt idx="2">
                  <c:v>Curry Point</c:v>
                </c:pt>
                <c:pt idx="3">
                  <c:v>Dragon Express</c:v>
                </c:pt>
                <c:pt idx="4">
                  <c:v>Food Fiesta</c:v>
                </c:pt>
                <c:pt idx="5">
                  <c:v>Grill Master</c:v>
                </c:pt>
                <c:pt idx="6">
                  <c:v>Pizza World</c:v>
                </c:pt>
                <c:pt idx="7">
                  <c:v>Spice Hub</c:v>
                </c:pt>
                <c:pt idx="8">
                  <c:v>Sushi Corner</c:v>
                </c:pt>
                <c:pt idx="9">
                  <c:v>Tandoori Tales</c:v>
                </c:pt>
              </c:strCache>
            </c:strRef>
          </c:cat>
          <c:val>
            <c:numRef>
              <c:f>Sheet2!$M$29:$M$39</c:f>
              <c:numCache>
                <c:formatCode>General</c:formatCode>
                <c:ptCount val="10"/>
                <c:pt idx="0">
                  <c:v>607.96000000000015</c:v>
                </c:pt>
                <c:pt idx="1">
                  <c:v>516.90000000000032</c:v>
                </c:pt>
                <c:pt idx="2">
                  <c:v>541.61000000000013</c:v>
                </c:pt>
                <c:pt idx="3">
                  <c:v>628.84</c:v>
                </c:pt>
                <c:pt idx="4">
                  <c:v>456.87999999999994</c:v>
                </c:pt>
                <c:pt idx="5">
                  <c:v>414.35000000000008</c:v>
                </c:pt>
                <c:pt idx="6">
                  <c:v>303.47000000000003</c:v>
                </c:pt>
                <c:pt idx="7">
                  <c:v>546.33000000000004</c:v>
                </c:pt>
                <c:pt idx="8">
                  <c:v>573.25999999999976</c:v>
                </c:pt>
                <c:pt idx="9">
                  <c:v>461.8599999999999</c:v>
                </c:pt>
              </c:numCache>
            </c:numRef>
          </c:val>
          <c:smooth val="0"/>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1263402784"/>
        <c:axId val="-1263401152"/>
      </c:lineChart>
      <c:catAx>
        <c:axId val="-1263402784"/>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1263401152"/>
        <c:crosses val="autoZero"/>
        <c:auto val="1"/>
        <c:lblAlgn val="ctr"/>
        <c:lblOffset val="100"/>
        <c:noMultiLvlLbl val="0"/>
      </c:catAx>
      <c:valAx>
        <c:axId val="-1263401152"/>
        <c:scaling>
          <c:orientation val="minMax"/>
        </c:scaling>
        <c:delete val="1"/>
        <c:axPos val="l"/>
        <c:numFmt formatCode="General" sourceLinked="1"/>
        <c:majorTickMark val="none"/>
        <c:minorTickMark val="none"/>
        <c:tickLblPos val="nextTo"/>
        <c:crossAx val="-1263402784"/>
        <c:crosses val="autoZero"/>
        <c:crossBetween val="between"/>
      </c:valAx>
      <c:spPr>
        <a:solidFill>
          <a:schemeClr val="accent6">
            <a:lumMod val="50000"/>
          </a:schemeClr>
        </a:solidFill>
        <a:ln>
          <a:noFill/>
        </a:ln>
        <a:effectLst/>
      </c:spPr>
    </c:plotArea>
    <c:plotVisOnly val="1"/>
    <c:dispBlanksAs val="gap"/>
    <c:showDLblsOverMax val="0"/>
  </c:chart>
  <c:spPr>
    <a:solidFill>
      <a:schemeClr val="accent6">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DASHBOARD - EXCEL.xlsx]Sheet2!PivotTable1</c:name>
    <c:fmtId val="16"/>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sz="2400">
                <a:solidFill>
                  <a:schemeClr val="bg1"/>
                </a:solidFill>
              </a:rPr>
              <a:t>Total  Sales By Restaurants</a:t>
            </a:r>
          </a:p>
        </c:rich>
      </c:tx>
      <c:layout>
        <c:manualLayout>
          <c:xMode val="edge"/>
          <c:yMode val="edge"/>
          <c:x val="0.1665719741383524"/>
          <c:y val="0"/>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solidFill>
              <a:schemeClr val="tx1"/>
            </a:solidFill>
          </a:ln>
          <a:effectLst>
            <a:outerShdw blurRad="40000" dist="23000" dir="1380000" sx="1000" sy="1000" rotWithShape="0">
              <a:srgbClr val="000000"/>
            </a:outerShdw>
          </a:effectLst>
          <a:scene3d>
            <a:camera prst="orthographicFront"/>
            <a:lightRig rig="threePt" dir="t">
              <a:rot lat="0" lon="0" rev="1200000"/>
            </a:lightRig>
          </a:scene3d>
          <a:sp3d>
            <a:bevelT w="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solidFill>
              <a:schemeClr val="tx1"/>
            </a:solidFill>
          </a:ln>
          <a:effectLst>
            <a:outerShdw blurRad="40000" dist="23000" dir="1380000" sx="1000" sy="1000" rotWithShape="0">
              <a:srgbClr val="000000"/>
            </a:outerShdw>
          </a:effectLst>
          <a:scene3d>
            <a:camera prst="orthographicFront"/>
            <a:lightRig rig="threePt" dir="t">
              <a:rot lat="0" lon="0" rev="1200000"/>
            </a:lightRig>
          </a:scene3d>
          <a:sp3d>
            <a:bevelT w="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solidFill>
              <a:schemeClr val="tx1"/>
            </a:solidFill>
          </a:ln>
          <a:effectLst>
            <a:outerShdw blurRad="40000" dist="23000" dir="1380000" sx="1000" sy="1000" rotWithShape="0">
              <a:srgbClr val="000000"/>
            </a:outerShdw>
          </a:effectLst>
          <a:scene3d>
            <a:camera prst="orthographicFront"/>
            <a:lightRig rig="threePt" dir="t">
              <a:rot lat="0" lon="0" rev="1200000"/>
            </a:lightRig>
          </a:scene3d>
          <a:sp3d>
            <a:bevelT w="88900" h="635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122708201620783"/>
          <c:y val="0.20988570497846953"/>
          <c:w val="0.79984347759449781"/>
          <c:h val="0.79011429502153052"/>
        </c:manualLayout>
      </c:layout>
      <c:barChart>
        <c:barDir val="bar"/>
        <c:grouping val="clustered"/>
        <c:varyColors val="0"/>
        <c:ser>
          <c:idx val="0"/>
          <c:order val="0"/>
          <c:tx>
            <c:strRef>
              <c:f>Sheet2!$B$3</c:f>
              <c:strCache>
                <c:ptCount val="1"/>
                <c:pt idx="0">
                  <c:v>Total</c:v>
                </c:pt>
              </c:strCache>
            </c:strRef>
          </c:tx>
          <c:spPr>
            <a:solidFill>
              <a:schemeClr val="tx2"/>
            </a:solidFill>
            <a:ln>
              <a:solidFill>
                <a:schemeClr val="tx1"/>
              </a:solidFill>
            </a:ln>
            <a:effectLst>
              <a:outerShdw blurRad="40000" dist="23000" dir="1380000" sx="1000" sy="1000" rotWithShape="0">
                <a:srgbClr val="000000"/>
              </a:outerShdw>
            </a:effectLst>
            <a:scene3d>
              <a:camera prst="orthographicFront"/>
              <a:lightRig rig="threePt" dir="t">
                <a:rot lat="0" lon="0" rev="1200000"/>
              </a:lightRig>
            </a:scene3d>
            <a:sp3d>
              <a:bevelT w="88900" h="635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Burger House</c:v>
                </c:pt>
                <c:pt idx="1">
                  <c:v>Cafe Aroma</c:v>
                </c:pt>
                <c:pt idx="2">
                  <c:v>Curry Point</c:v>
                </c:pt>
                <c:pt idx="3">
                  <c:v>Dragon Express</c:v>
                </c:pt>
                <c:pt idx="4">
                  <c:v>Food Fiesta</c:v>
                </c:pt>
                <c:pt idx="5">
                  <c:v>Grill Master</c:v>
                </c:pt>
                <c:pt idx="6">
                  <c:v>Pizza World</c:v>
                </c:pt>
                <c:pt idx="7">
                  <c:v>Spice Hub</c:v>
                </c:pt>
                <c:pt idx="8">
                  <c:v>Sushi Corner</c:v>
                </c:pt>
                <c:pt idx="9">
                  <c:v>Tandoori Tales</c:v>
                </c:pt>
              </c:strCache>
            </c:strRef>
          </c:cat>
          <c:val>
            <c:numRef>
              <c:f>Sheet2!$B$4:$B$14</c:f>
              <c:numCache>
                <c:formatCode>General</c:formatCode>
                <c:ptCount val="10"/>
                <c:pt idx="0">
                  <c:v>75530.329999999987</c:v>
                </c:pt>
                <c:pt idx="1">
                  <c:v>68851.92</c:v>
                </c:pt>
                <c:pt idx="2">
                  <c:v>76179.49000000002</c:v>
                </c:pt>
                <c:pt idx="3">
                  <c:v>86214.87999999999</c:v>
                </c:pt>
                <c:pt idx="4">
                  <c:v>69913.349999999991</c:v>
                </c:pt>
                <c:pt idx="5">
                  <c:v>61365.810000000012</c:v>
                </c:pt>
                <c:pt idx="6">
                  <c:v>68447.06</c:v>
                </c:pt>
                <c:pt idx="7">
                  <c:v>70336.459999999963</c:v>
                </c:pt>
                <c:pt idx="8">
                  <c:v>96204.55</c:v>
                </c:pt>
                <c:pt idx="9">
                  <c:v>62408.35</c:v>
                </c:pt>
              </c:numCache>
            </c:numRef>
          </c:val>
        </c:ser>
        <c:dLbls>
          <c:dLblPos val="outEnd"/>
          <c:showLegendKey val="0"/>
          <c:showVal val="1"/>
          <c:showCatName val="0"/>
          <c:showSerName val="0"/>
          <c:showPercent val="0"/>
          <c:showBubbleSize val="0"/>
        </c:dLbls>
        <c:gapWidth val="115"/>
        <c:overlap val="-20"/>
        <c:axId val="-1263399520"/>
        <c:axId val="-1263404960"/>
      </c:barChart>
      <c:catAx>
        <c:axId val="-1263399520"/>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263404960"/>
        <c:crosses val="autoZero"/>
        <c:auto val="1"/>
        <c:lblAlgn val="ctr"/>
        <c:lblOffset val="100"/>
        <c:noMultiLvlLbl val="0"/>
      </c:catAx>
      <c:valAx>
        <c:axId val="-1263404960"/>
        <c:scaling>
          <c:orientation val="minMax"/>
        </c:scaling>
        <c:delete val="1"/>
        <c:axPos val="b"/>
        <c:numFmt formatCode="General" sourceLinked="1"/>
        <c:majorTickMark val="none"/>
        <c:minorTickMark val="none"/>
        <c:tickLblPos val="nextTo"/>
        <c:crossAx val="-1263399520"/>
        <c:crosses val="autoZero"/>
        <c:crossBetween val="between"/>
      </c:valAx>
      <c:spPr>
        <a:noFill/>
        <a:ln>
          <a:noFill/>
        </a:ln>
        <a:effectLst/>
      </c:spPr>
    </c:plotArea>
    <c:plotVisOnly val="1"/>
    <c:dispBlanksAs val="gap"/>
    <c:showDLblsOverMax val="0"/>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DASHBOARD - EXCEL.xlsx]Sheet2!PivotTable2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bg1"/>
                </a:solidFill>
              </a:rPr>
              <a:t>TOP FOOD  BY  QUANTITY</a:t>
            </a:r>
          </a:p>
        </c:rich>
      </c:tx>
      <c:layout>
        <c:manualLayout>
          <c:xMode val="edge"/>
          <c:yMode val="edge"/>
          <c:x val="0.20645483549274946"/>
          <c:y val="0"/>
        </c:manualLayout>
      </c:layout>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solidFill>
              <a:schemeClr val="tx1"/>
            </a:solidFill>
          </a:ln>
          <a:effectLst/>
          <a:scene3d>
            <a:camera prst="orthographicFront"/>
            <a:lightRig rig="threePt" dir="t"/>
          </a:scene3d>
          <a:sp3d>
            <a:bevelT w="38100" h="4445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280457377984764"/>
          <c:y val="0.32753194036097838"/>
          <c:w val="0.88070841257165489"/>
          <c:h val="0.27050665604965496"/>
        </c:manualLayout>
      </c:layout>
      <c:barChart>
        <c:barDir val="col"/>
        <c:grouping val="clustered"/>
        <c:varyColors val="0"/>
        <c:ser>
          <c:idx val="0"/>
          <c:order val="0"/>
          <c:tx>
            <c:strRef>
              <c:f>Sheet2!$F$3</c:f>
              <c:strCache>
                <c:ptCount val="1"/>
                <c:pt idx="0">
                  <c:v>Total</c:v>
                </c:pt>
              </c:strCache>
            </c:strRef>
          </c:tx>
          <c:spPr>
            <a:solidFill>
              <a:schemeClr val="tx2"/>
            </a:solidFill>
            <a:ln>
              <a:solidFill>
                <a:schemeClr val="tx1"/>
              </a:solidFill>
            </a:ln>
            <a:effectLst/>
            <a:scene3d>
              <a:camera prst="orthographicFront"/>
              <a:lightRig rig="threePt" dir="t"/>
            </a:scene3d>
            <a:sp3d>
              <a:bevelT w="38100" h="44450"/>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Sheet2!$E$4:$E$19</c:f>
              <c:strCache>
                <c:ptCount val="15"/>
                <c:pt idx="0">
                  <c:v>Butter Chicken</c:v>
                </c:pt>
                <c:pt idx="1">
                  <c:v>Cheeseburger</c:v>
                </c:pt>
                <c:pt idx="2">
                  <c:v>Chicken Biryani</c:v>
                </c:pt>
                <c:pt idx="3">
                  <c:v>Fried Rice</c:v>
                </c:pt>
                <c:pt idx="4">
                  <c:v>Grilled Sandwich</c:v>
                </c:pt>
                <c:pt idx="5">
                  <c:v>Margherita Pizza</c:v>
                </c:pt>
                <c:pt idx="6">
                  <c:v>Masala Dosa</c:v>
                </c:pt>
                <c:pt idx="7">
                  <c:v>Momos</c:v>
                </c:pt>
                <c:pt idx="8">
                  <c:v>Paneer Tikka</c:v>
                </c:pt>
                <c:pt idx="9">
                  <c:v>Pasta Alfredo</c:v>
                </c:pt>
                <c:pt idx="10">
                  <c:v>Shawarma</c:v>
                </c:pt>
                <c:pt idx="11">
                  <c:v>Spring Rolls</c:v>
                </c:pt>
                <c:pt idx="12">
                  <c:v>Sushi Platter</c:v>
                </c:pt>
                <c:pt idx="13">
                  <c:v>Tandoori Roti</c:v>
                </c:pt>
                <c:pt idx="14">
                  <c:v>Veg Biryani</c:v>
                </c:pt>
              </c:strCache>
            </c:strRef>
          </c:cat>
          <c:val>
            <c:numRef>
              <c:f>Sheet2!$F$4:$F$19</c:f>
              <c:numCache>
                <c:formatCode>General</c:formatCode>
                <c:ptCount val="15"/>
                <c:pt idx="0">
                  <c:v>160</c:v>
                </c:pt>
                <c:pt idx="1">
                  <c:v>242</c:v>
                </c:pt>
                <c:pt idx="2">
                  <c:v>172</c:v>
                </c:pt>
                <c:pt idx="3">
                  <c:v>196</c:v>
                </c:pt>
                <c:pt idx="4">
                  <c:v>243</c:v>
                </c:pt>
                <c:pt idx="5">
                  <c:v>217</c:v>
                </c:pt>
                <c:pt idx="6">
                  <c:v>194</c:v>
                </c:pt>
                <c:pt idx="7">
                  <c:v>172</c:v>
                </c:pt>
                <c:pt idx="8">
                  <c:v>240</c:v>
                </c:pt>
                <c:pt idx="9">
                  <c:v>268</c:v>
                </c:pt>
                <c:pt idx="10">
                  <c:v>158</c:v>
                </c:pt>
                <c:pt idx="11">
                  <c:v>184</c:v>
                </c:pt>
                <c:pt idx="12">
                  <c:v>176</c:v>
                </c:pt>
                <c:pt idx="13">
                  <c:v>205</c:v>
                </c:pt>
                <c:pt idx="14">
                  <c:v>235</c:v>
                </c:pt>
              </c:numCache>
            </c:numRef>
          </c:val>
        </c:ser>
        <c:dLbls>
          <c:dLblPos val="outEnd"/>
          <c:showLegendKey val="0"/>
          <c:showVal val="1"/>
          <c:showCatName val="0"/>
          <c:showSerName val="0"/>
          <c:showPercent val="0"/>
          <c:showBubbleSize val="0"/>
        </c:dLbls>
        <c:gapWidth val="221"/>
        <c:overlap val="-2"/>
        <c:axId val="-1427391968"/>
        <c:axId val="-1427395232"/>
      </c:barChart>
      <c:catAx>
        <c:axId val="-1427391968"/>
        <c:scaling>
          <c:orientation val="minMax"/>
        </c:scaling>
        <c:delete val="0"/>
        <c:axPos val="b"/>
        <c:numFmt formatCode="General" sourceLinked="1"/>
        <c:majorTickMark val="out"/>
        <c:minorTickMark val="none"/>
        <c:tickLblPos val="nextTo"/>
        <c:spPr>
          <a:solidFill>
            <a:srgbClr val="C00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427395232"/>
        <c:crosses val="autoZero"/>
        <c:auto val="1"/>
        <c:lblAlgn val="ctr"/>
        <c:lblOffset val="100"/>
        <c:noMultiLvlLbl val="0"/>
      </c:catAx>
      <c:valAx>
        <c:axId val="-1427395232"/>
        <c:scaling>
          <c:orientation val="minMax"/>
        </c:scaling>
        <c:delete val="1"/>
        <c:axPos val="l"/>
        <c:numFmt formatCode="General" sourceLinked="1"/>
        <c:majorTickMark val="out"/>
        <c:minorTickMark val="none"/>
        <c:tickLblPos val="nextTo"/>
        <c:crossAx val="-14273919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DASHBOARD - EXCEL.xlsx]Sheet2!PivotTable4</c:name>
    <c:fmtId val="2"/>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solidFill>
                  <a:schemeClr val="bg1"/>
                </a:solidFill>
              </a:rPr>
              <a:t>MONTHLY</a:t>
            </a:r>
            <a:r>
              <a:rPr lang="en-US" sz="2400" b="1" baseline="0">
                <a:solidFill>
                  <a:schemeClr val="bg1"/>
                </a:solidFill>
              </a:rPr>
              <a:t> SALES TREND</a:t>
            </a:r>
          </a:p>
        </c:rich>
      </c:tx>
      <c:layout/>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tx1"/>
            </a:solidFill>
            <a:round/>
          </a:ln>
          <a:effectLst/>
        </c:spPr>
        <c:marker>
          <c:symbol val="none"/>
        </c:marker>
      </c:pivotFmt>
      <c:pivotFmt>
        <c:idx val="1"/>
        <c:spPr>
          <a:solidFill>
            <a:schemeClr val="accent1"/>
          </a:solidFill>
          <a:ln w="28575" cap="rnd">
            <a:solidFill>
              <a:schemeClr val="tx1"/>
            </a:solidFill>
            <a:round/>
          </a:ln>
          <a:effectLst/>
        </c:spPr>
        <c:marker>
          <c:symbol val="none"/>
        </c:marker>
      </c:pivotFmt>
      <c:pivotFmt>
        <c:idx val="2"/>
        <c:spPr>
          <a:ln w="28575" cap="rnd">
            <a:solidFill>
              <a:schemeClr val="tx2"/>
            </a:solidFill>
            <a:round/>
          </a:ln>
          <a:effectLst/>
        </c:spPr>
        <c:marker>
          <c:symbol val="none"/>
        </c:marker>
      </c:pivotFmt>
    </c:pivotFmts>
    <c:plotArea>
      <c:layout>
        <c:manualLayout>
          <c:layoutTarget val="inner"/>
          <c:xMode val="edge"/>
          <c:yMode val="edge"/>
          <c:x val="0.12155150754390182"/>
          <c:y val="0.16744908118880814"/>
          <c:w val="0.8736796393767603"/>
          <c:h val="0.70242703857409461"/>
        </c:manualLayout>
      </c:layout>
      <c:lineChart>
        <c:grouping val="standard"/>
        <c:varyColors val="0"/>
        <c:ser>
          <c:idx val="0"/>
          <c:order val="0"/>
          <c:tx>
            <c:strRef>
              <c:f>Sheet2!$G$31</c:f>
              <c:strCache>
                <c:ptCount val="1"/>
                <c:pt idx="0">
                  <c:v>Total</c:v>
                </c:pt>
              </c:strCache>
            </c:strRef>
          </c:tx>
          <c:spPr>
            <a:ln w="28575" cap="rnd">
              <a:solidFill>
                <a:schemeClr val="tx2"/>
              </a:solidFill>
              <a:round/>
            </a:ln>
            <a:effectLst/>
          </c:spPr>
          <c:marker>
            <c:symbol val="none"/>
          </c:marker>
          <c:cat>
            <c:strRef>
              <c:f>Sheet2!$F$32:$F$44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Sheet2!$G$32:$G$44</c:f>
              <c:numCache>
                <c:formatCode>General</c:formatCode>
                <c:ptCount val="12"/>
                <c:pt idx="0">
                  <c:v>59013.530000000021</c:v>
                </c:pt>
                <c:pt idx="1">
                  <c:v>50880.27</c:v>
                </c:pt>
                <c:pt idx="2">
                  <c:v>76460.780000000028</c:v>
                </c:pt>
                <c:pt idx="3">
                  <c:v>49466.549999999996</c:v>
                </c:pt>
                <c:pt idx="4">
                  <c:v>62445.860000000015</c:v>
                </c:pt>
                <c:pt idx="5">
                  <c:v>57857.410000000011</c:v>
                </c:pt>
                <c:pt idx="6">
                  <c:v>63298.460000000021</c:v>
                </c:pt>
                <c:pt idx="7">
                  <c:v>66375.329999999973</c:v>
                </c:pt>
                <c:pt idx="8">
                  <c:v>79488.870000000039</c:v>
                </c:pt>
                <c:pt idx="9">
                  <c:v>56265.279999999999</c:v>
                </c:pt>
                <c:pt idx="10">
                  <c:v>55038.49</c:v>
                </c:pt>
                <c:pt idx="11">
                  <c:v>58861.37000000001</c:v>
                </c:pt>
              </c:numCache>
            </c:numRef>
          </c:val>
          <c:smooth val="0"/>
        </c:ser>
        <c:dLbls>
          <c:showLegendKey val="0"/>
          <c:showVal val="0"/>
          <c:showCatName val="0"/>
          <c:showSerName val="0"/>
          <c:showPercent val="0"/>
          <c:showBubbleSize val="0"/>
        </c:dLbls>
        <c:smooth val="0"/>
        <c:axId val="-1481742640"/>
        <c:axId val="-1260007968"/>
      </c:lineChart>
      <c:catAx>
        <c:axId val="-1481742640"/>
        <c:scaling>
          <c:orientation val="minMax"/>
        </c:scaling>
        <c:delete val="0"/>
        <c:axPos val="b"/>
        <c:numFmt formatCode="General" sourceLinked="1"/>
        <c:majorTickMark val="none"/>
        <c:minorTickMark val="none"/>
        <c:tickLblPos val="nextTo"/>
        <c:spPr>
          <a:noFill/>
          <a:ln w="9525" cap="flat" cmpd="sng" algn="ctr">
            <a:noFill/>
            <a:round/>
          </a:ln>
          <a:effectLst>
            <a:softEdge rad="0"/>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260007968"/>
        <c:crosses val="autoZero"/>
        <c:auto val="1"/>
        <c:lblAlgn val="ctr"/>
        <c:lblOffset val="100"/>
        <c:noMultiLvlLbl val="0"/>
      </c:catAx>
      <c:valAx>
        <c:axId val="-1260007968"/>
        <c:scaling>
          <c:orientation val="minMax"/>
        </c:scaling>
        <c:delete val="0"/>
        <c:axPos val="l"/>
        <c:numFmt formatCode="General" sourceLinked="1"/>
        <c:majorTickMark val="none"/>
        <c:minorTickMark val="none"/>
        <c:tickLblPos val="nextTo"/>
        <c:spPr>
          <a:noFill/>
          <a:ln>
            <a:noFill/>
          </a:ln>
          <a:effectLst>
            <a:glow rad="127000">
              <a:schemeClr val="bg1"/>
            </a:glow>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481742640"/>
        <c:crosses val="autoZero"/>
        <c:crossBetween val="between"/>
      </c:valAx>
      <c:spPr>
        <a:solidFill>
          <a:srgbClr val="C00000"/>
        </a:solidFill>
        <a:ln>
          <a:solidFill>
            <a:srgbClr val="C00000"/>
          </a:solidFill>
        </a:ln>
        <a:effectLst/>
      </c:spPr>
    </c:plotArea>
    <c:plotVisOnly val="1"/>
    <c:dispBlanksAs val="gap"/>
    <c:showDLblsOverMax val="0"/>
  </c:chart>
  <c:spPr>
    <a:solidFill>
      <a:srgbClr val="C00000"/>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DASHBOARD - EXCEL.xlsx]Sheet2!PivotTable5</c:name>
    <c:fmtId val="40"/>
  </c:pivotSource>
  <c:chart>
    <c:title>
      <c:tx>
        <c:rich>
          <a:bodyPr rot="0" spcFirstLastPara="1" vertOverflow="ellipsis" vert="horz" wrap="square" anchor="ctr" anchorCtr="1"/>
          <a:lstStyle/>
          <a:p>
            <a:pPr>
              <a:defRPr sz="2400" b="1" i="0" u="none" strike="noStrike" kern="1200" cap="all" spc="100" normalizeH="0" baseline="0">
                <a:solidFill>
                  <a:schemeClr val="bg1"/>
                </a:solidFill>
                <a:latin typeface="+mn-lt"/>
                <a:ea typeface="+mn-ea"/>
                <a:cs typeface="+mn-cs"/>
              </a:defRPr>
            </a:pPr>
            <a:r>
              <a:rPr lang="en-US" sz="2400">
                <a:solidFill>
                  <a:schemeClr val="bg1"/>
                </a:solidFill>
              </a:rPr>
              <a:t>DISCOUNT ANALYSIS</a:t>
            </a:r>
          </a:p>
        </c:rich>
      </c:tx>
      <c:layout>
        <c:manualLayout>
          <c:xMode val="edge"/>
          <c:yMode val="edge"/>
          <c:x val="0.32096559425598364"/>
          <c:y val="7.0512797378700634E-3"/>
        </c:manualLayout>
      </c:layout>
      <c:overlay val="0"/>
      <c:spPr>
        <a:noFill/>
        <a:ln>
          <a:noFill/>
        </a:ln>
        <a:effectLst/>
      </c:spPr>
      <c:txPr>
        <a:bodyPr rot="0" spcFirstLastPara="1" vertOverflow="ellipsis" vert="horz" wrap="square" anchor="ctr" anchorCtr="1"/>
        <a:lstStyle/>
        <a:p>
          <a:pPr>
            <a:defRPr sz="2400" b="1" i="0" u="none" strike="noStrike" kern="1200" cap="all" spc="100" normalizeH="0" baseline="0">
              <a:solidFill>
                <a:schemeClr val="bg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tx1"/>
            </a:solidFill>
            <a:round/>
          </a:ln>
          <a:effectLst>
            <a:outerShdw dist="25400" dir="2700000" algn="tl" rotWithShape="0">
              <a:schemeClr val="tx1"/>
            </a:outerShdw>
          </a:effectLst>
        </c:spPr>
        <c:marker>
          <c:symbol val="circle"/>
          <c:size val="5"/>
          <c:spPr>
            <a:solidFill>
              <a:schemeClr val="tx1"/>
            </a:solidFill>
            <a:ln w="22225">
              <a:solidFill>
                <a:schemeClr val="bg1"/>
              </a:solidFill>
              <a:round/>
            </a:ln>
            <a:effectLst>
              <a:outerShdw dist="25400" dir="2700000" algn="tl" rotWithShape="0">
                <a:schemeClr val="tx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tx1"/>
            </a:solidFill>
            <a:round/>
          </a:ln>
          <a:effectLst>
            <a:outerShdw dist="25400" dir="2700000" algn="tl" rotWithShape="0">
              <a:schemeClr val="tx1"/>
            </a:outerShdw>
          </a:effectLst>
        </c:spPr>
        <c:marker>
          <c:symbol val="circle"/>
          <c:size val="5"/>
          <c:spPr>
            <a:solidFill>
              <a:schemeClr val="tx1"/>
            </a:solidFill>
            <a:ln w="22225">
              <a:solidFill>
                <a:schemeClr val="bg1"/>
              </a:solidFill>
              <a:round/>
            </a:ln>
            <a:effectLst>
              <a:outerShdw dist="25400" dir="2700000" algn="tl" rotWithShape="0">
                <a:schemeClr val="tx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tx2"/>
            </a:solidFill>
            <a:round/>
          </a:ln>
          <a:effectLst>
            <a:outerShdw dist="25400" dir="2700000" algn="tl" rotWithShape="0">
              <a:schemeClr val="tx1"/>
            </a:outerShdw>
          </a:effectLst>
        </c:spPr>
        <c:marker>
          <c:symbol val="circle"/>
          <c:size val="5"/>
          <c:spPr>
            <a:solidFill>
              <a:schemeClr val="tx2"/>
            </a:solidFill>
            <a:ln w="22225">
              <a:solidFill>
                <a:schemeClr val="tx2"/>
              </a:solidFill>
              <a:round/>
            </a:ln>
            <a:effectLst>
              <a:outerShdw dist="25400" dir="2700000" algn="tl" rotWithShape="0">
                <a:schemeClr val="tx1"/>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4780292722074108E-3"/>
          <c:y val="0.16852852852852854"/>
          <c:w val="0.95074167800571852"/>
          <c:h val="0.71462139304658989"/>
        </c:manualLayout>
      </c:layout>
      <c:lineChart>
        <c:grouping val="standard"/>
        <c:varyColors val="0"/>
        <c:ser>
          <c:idx val="0"/>
          <c:order val="0"/>
          <c:tx>
            <c:strRef>
              <c:f>Sheet2!$M$28</c:f>
              <c:strCache>
                <c:ptCount val="1"/>
                <c:pt idx="0">
                  <c:v>Total</c:v>
                </c:pt>
              </c:strCache>
            </c:strRef>
          </c:tx>
          <c:spPr>
            <a:ln w="34925" cap="rnd">
              <a:solidFill>
                <a:schemeClr val="tx2"/>
              </a:solidFill>
              <a:round/>
            </a:ln>
            <a:effectLst>
              <a:outerShdw dist="25400" dir="2700000" algn="tl" rotWithShape="0">
                <a:schemeClr val="tx1"/>
              </a:outerShdw>
            </a:effectLst>
          </c:spPr>
          <c:marker>
            <c:symbol val="circle"/>
            <c:size val="5"/>
            <c:spPr>
              <a:solidFill>
                <a:schemeClr val="tx2"/>
              </a:solidFill>
              <a:ln w="22225">
                <a:solidFill>
                  <a:schemeClr val="tx2"/>
                </a:solidFill>
                <a:round/>
              </a:ln>
              <a:effectLst>
                <a:outerShdw dist="25400" dir="2700000" algn="tl" rotWithShape="0">
                  <a:schemeClr val="tx1"/>
                </a:outerShdw>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Sheet2!$L$29:$L$39</c:f>
              <c:strCache>
                <c:ptCount val="10"/>
                <c:pt idx="0">
                  <c:v>Burger House</c:v>
                </c:pt>
                <c:pt idx="1">
                  <c:v>Cafe Aroma</c:v>
                </c:pt>
                <c:pt idx="2">
                  <c:v>Curry Point</c:v>
                </c:pt>
                <c:pt idx="3">
                  <c:v>Dragon Express</c:v>
                </c:pt>
                <c:pt idx="4">
                  <c:v>Food Fiesta</c:v>
                </c:pt>
                <c:pt idx="5">
                  <c:v>Grill Master</c:v>
                </c:pt>
                <c:pt idx="6">
                  <c:v>Pizza World</c:v>
                </c:pt>
                <c:pt idx="7">
                  <c:v>Spice Hub</c:v>
                </c:pt>
                <c:pt idx="8">
                  <c:v>Sushi Corner</c:v>
                </c:pt>
                <c:pt idx="9">
                  <c:v>Tandoori Tales</c:v>
                </c:pt>
              </c:strCache>
            </c:strRef>
          </c:cat>
          <c:val>
            <c:numRef>
              <c:f>Sheet2!$M$29:$M$39</c:f>
              <c:numCache>
                <c:formatCode>General</c:formatCode>
                <c:ptCount val="10"/>
                <c:pt idx="0">
                  <c:v>607.96000000000015</c:v>
                </c:pt>
                <c:pt idx="1">
                  <c:v>516.90000000000032</c:v>
                </c:pt>
                <c:pt idx="2">
                  <c:v>541.61000000000013</c:v>
                </c:pt>
                <c:pt idx="3">
                  <c:v>628.84</c:v>
                </c:pt>
                <c:pt idx="4">
                  <c:v>456.87999999999994</c:v>
                </c:pt>
                <c:pt idx="5">
                  <c:v>414.35000000000008</c:v>
                </c:pt>
                <c:pt idx="6">
                  <c:v>303.47000000000003</c:v>
                </c:pt>
                <c:pt idx="7">
                  <c:v>546.33000000000004</c:v>
                </c:pt>
                <c:pt idx="8">
                  <c:v>573.25999999999976</c:v>
                </c:pt>
                <c:pt idx="9">
                  <c:v>461.8599999999999</c:v>
                </c:pt>
              </c:numCache>
            </c:numRef>
          </c:val>
          <c:smooth val="0"/>
        </c:ser>
        <c:dLbls>
          <c:showLegendKey val="0"/>
          <c:showVal val="0"/>
          <c:showCatName val="0"/>
          <c:showSerName val="0"/>
          <c:showPercent val="0"/>
          <c:showBubbleSize val="0"/>
        </c:dLbls>
        <c:dropLines>
          <c:spPr>
            <a:ln w="9525" cap="flat" cmpd="sng" algn="ctr">
              <a:solidFill>
                <a:schemeClr val="tx1"/>
              </a:soli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1260004704"/>
        <c:axId val="-1259999808"/>
      </c:lineChart>
      <c:catAx>
        <c:axId val="-1260004704"/>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600" b="0" i="0" u="none" strike="noStrike" kern="1200" spc="100" baseline="0">
                <a:solidFill>
                  <a:schemeClr val="bg1"/>
                </a:solidFill>
                <a:latin typeface="+mn-lt"/>
                <a:ea typeface="+mn-ea"/>
                <a:cs typeface="+mn-cs"/>
              </a:defRPr>
            </a:pPr>
            <a:endParaRPr lang="en-US"/>
          </a:p>
        </c:txPr>
        <c:crossAx val="-1259999808"/>
        <c:crosses val="autoZero"/>
        <c:auto val="1"/>
        <c:lblAlgn val="ctr"/>
        <c:lblOffset val="100"/>
        <c:noMultiLvlLbl val="0"/>
      </c:catAx>
      <c:valAx>
        <c:axId val="-1259999808"/>
        <c:scaling>
          <c:orientation val="minMax"/>
        </c:scaling>
        <c:delete val="1"/>
        <c:axPos val="l"/>
        <c:numFmt formatCode="General" sourceLinked="1"/>
        <c:majorTickMark val="none"/>
        <c:minorTickMark val="none"/>
        <c:tickLblPos val="nextTo"/>
        <c:crossAx val="-1260004704"/>
        <c:crosses val="autoZero"/>
        <c:crossBetween val="between"/>
      </c:valAx>
      <c:spPr>
        <a:solidFill>
          <a:srgbClr val="C00000"/>
        </a:solidFill>
        <a:ln>
          <a:noFill/>
        </a:ln>
        <a:effectLst/>
      </c:spPr>
    </c:plotArea>
    <c:plotVisOnly val="1"/>
    <c:dispBlanksAs val="gap"/>
    <c:showDLblsOverMax val="0"/>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[ZOMATO ANALYSIS DASHBOARD - EXCEL.xlsx]Sheet2!PivotTable3</c:name>
    <c:fmtId val="22"/>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solidFill>
                  <a:schemeClr val="bg1"/>
                </a:solidFill>
              </a:rPr>
              <a:t>PROFIT ANALYSIS BY CITY</a:t>
            </a:r>
          </a:p>
        </c:rich>
      </c:tx>
      <c:layout>
        <c:manualLayout>
          <c:xMode val="edge"/>
          <c:yMode val="edge"/>
          <c:x val="0.14727549587767849"/>
          <c:y val="1.5666223098735756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
        <c:idx val="10"/>
        <c:spPr>
          <a:solidFill>
            <a:schemeClr val="dk1">
              <a:tint val="88500"/>
            </a:schemeClr>
          </a:solidFill>
          <a:ln w="19050">
            <a:solidFill>
              <a:schemeClr val="lt1"/>
            </a:solidFill>
          </a:ln>
          <a:effectLst/>
        </c:spPr>
        <c:marker>
          <c:symbol val="none"/>
        </c:marker>
      </c:pivotFmt>
      <c:pivotFmt>
        <c:idx val="11"/>
        <c:spPr>
          <a:solidFill>
            <a:schemeClr val="dk1">
              <a:tint val="88500"/>
            </a:schemeClr>
          </a:solidFill>
          <a:ln w="19050">
            <a:solidFill>
              <a:schemeClr val="lt1"/>
            </a:solidFill>
          </a:ln>
          <a:effectLst/>
        </c:spPr>
      </c:pivotFmt>
      <c:pivotFmt>
        <c:idx val="12"/>
        <c:spPr>
          <a:solidFill>
            <a:schemeClr val="dk1">
              <a:tint val="88500"/>
            </a:schemeClr>
          </a:solidFill>
          <a:ln w="19050">
            <a:solidFill>
              <a:schemeClr val="lt1"/>
            </a:solidFill>
          </a:ln>
          <a:effectLst/>
        </c:spPr>
      </c:pivotFmt>
      <c:pivotFmt>
        <c:idx val="13"/>
        <c:spPr>
          <a:solidFill>
            <a:schemeClr val="dk1">
              <a:tint val="88500"/>
            </a:schemeClr>
          </a:solidFill>
          <a:ln w="19050">
            <a:solidFill>
              <a:schemeClr val="lt1"/>
            </a:solidFill>
          </a:ln>
          <a:effectLst/>
        </c:spPr>
      </c:pivotFmt>
      <c:pivotFmt>
        <c:idx val="14"/>
        <c:spPr>
          <a:solidFill>
            <a:schemeClr val="dk1">
              <a:tint val="88500"/>
            </a:schemeClr>
          </a:solidFill>
          <a:ln w="19050">
            <a:solidFill>
              <a:schemeClr val="lt1"/>
            </a:solidFill>
          </a:ln>
          <a:effectLst/>
        </c:spPr>
      </c:pivotFmt>
      <c:pivotFmt>
        <c:idx val="15"/>
        <c:spPr>
          <a:solidFill>
            <a:schemeClr val="dk1">
              <a:tint val="88500"/>
            </a:schemeClr>
          </a:solidFill>
          <a:ln w="19050">
            <a:solidFill>
              <a:schemeClr val="lt1"/>
            </a:solidFill>
          </a:ln>
          <a:effectLst/>
        </c:spPr>
      </c:pivotFmt>
      <c:pivotFmt>
        <c:idx val="16"/>
        <c:spPr>
          <a:solidFill>
            <a:schemeClr val="dk1">
              <a:tint val="88500"/>
            </a:schemeClr>
          </a:solidFill>
          <a:ln w="19050">
            <a:solidFill>
              <a:schemeClr val="lt1"/>
            </a:solidFill>
          </a:ln>
          <a:effectLst/>
        </c:spPr>
      </c:pivotFmt>
      <c:pivotFmt>
        <c:idx val="17"/>
        <c:spPr>
          <a:solidFill>
            <a:schemeClr val="dk1">
              <a:tint val="88500"/>
            </a:schemeClr>
          </a:solidFill>
          <a:ln w="19050">
            <a:solidFill>
              <a:schemeClr val="lt1"/>
            </a:solidFill>
          </a:ln>
          <a:effectLst/>
        </c:spPr>
      </c:pivotFmt>
      <c:pivotFmt>
        <c:idx val="18"/>
        <c:spPr>
          <a:solidFill>
            <a:schemeClr val="dk1">
              <a:tint val="88500"/>
            </a:schemeClr>
          </a:solidFill>
          <a:ln w="19050">
            <a:solidFill>
              <a:schemeClr val="lt1"/>
            </a:solidFill>
          </a:ln>
          <a:effectLst/>
        </c:spPr>
      </c:pivotFmt>
      <c:pivotFmt>
        <c:idx val="19"/>
        <c:spPr>
          <a:solidFill>
            <a:schemeClr val="dk1">
              <a:tint val="88500"/>
            </a:schemeClr>
          </a:solidFill>
          <a:ln w="19050">
            <a:solidFill>
              <a:schemeClr val="lt1"/>
            </a:solidFill>
          </a:ln>
          <a:effectLst/>
        </c:spPr>
      </c:pivotFmt>
      <c:pivotFmt>
        <c:idx val="20"/>
        <c:spPr>
          <a:solidFill>
            <a:schemeClr val="tx2"/>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solidFill>
          <a:ln w="19050">
            <a:solidFill>
              <a:schemeClr val="tx1"/>
            </a:solidFill>
          </a:ln>
          <a:effectLst/>
        </c:spPr>
        <c:dLbl>
          <c:idx val="0"/>
          <c:layout>
            <c:manualLayout>
              <c:x val="0.28728970757747352"/>
              <c:y val="-1.6365452143938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tx2"/>
          </a:solidFill>
          <a:ln w="19050">
            <a:solidFill>
              <a:schemeClr val="tx1"/>
            </a:solidFill>
          </a:ln>
          <a:effectLst/>
        </c:spPr>
        <c:dLbl>
          <c:idx val="0"/>
          <c:layout>
            <c:manualLayout>
              <c:x val="0.17288230190502835"/>
              <c:y val="3.273090428787732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tx2"/>
          </a:solidFill>
          <a:ln w="19050">
            <a:solidFill>
              <a:schemeClr val="tx1"/>
            </a:solidFill>
          </a:ln>
          <a:effectLst/>
        </c:spPr>
        <c:dLbl>
          <c:idx val="0"/>
          <c:layout>
            <c:manualLayout>
              <c:x val="0.18559423586863358"/>
              <c:y val="3.682226732386199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tx2"/>
          </a:solidFill>
          <a:ln w="19050">
            <a:solidFill>
              <a:schemeClr val="tx1"/>
            </a:solidFill>
          </a:ln>
          <a:effectLst/>
        </c:spPr>
        <c:dLbl>
          <c:idx val="0"/>
          <c:layout>
            <c:manualLayout>
              <c:x val="0.25932345285754266"/>
              <c:y val="3.273090428787732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tx2"/>
          </a:solidFill>
          <a:ln w="19050">
            <a:solidFill>
              <a:schemeClr val="tx1"/>
            </a:solidFill>
          </a:ln>
          <a:effectLst/>
        </c:spPr>
        <c:dLbl>
          <c:idx val="0"/>
          <c:layout>
            <c:manualLayout>
              <c:x val="0.13474650001421326"/>
              <c:y val="5.318771946780065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tx2"/>
          </a:solidFill>
          <a:ln w="19050">
            <a:solidFill>
              <a:schemeClr val="tx1"/>
            </a:solidFill>
          </a:ln>
          <a:effectLst/>
        </c:spPr>
        <c:dLbl>
          <c:idx val="0"/>
          <c:layout>
            <c:manualLayout>
              <c:x val="-7.1186830196188183E-2"/>
              <c:y val="9.819271286363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chemeClr val="tx2"/>
          </a:solidFill>
          <a:ln w="19050">
            <a:solidFill>
              <a:schemeClr val="tx1"/>
            </a:solidFill>
          </a:ln>
          <a:effectLst/>
        </c:spPr>
        <c:dLbl>
          <c:idx val="0"/>
          <c:layout>
            <c:manualLayout>
              <c:x val="-0.17796707549047044"/>
              <c:y val="3.273090428787732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tx2"/>
          </a:solidFill>
          <a:ln w="19050">
            <a:solidFill>
              <a:schemeClr val="tx1"/>
            </a:solidFill>
          </a:ln>
          <a:effectLst/>
        </c:spPr>
        <c:dLbl>
          <c:idx val="0"/>
          <c:layout>
            <c:manualLayout>
              <c:x val="-0.16271275473414443"/>
              <c:y val="-2.045681517992332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tx2"/>
          </a:solidFill>
          <a:ln w="19050">
            <a:solidFill>
              <a:schemeClr val="tx1"/>
            </a:solidFill>
          </a:ln>
          <a:effectLst/>
        </c:spPr>
        <c:dLbl>
          <c:idx val="0"/>
          <c:layout>
            <c:manualLayout>
              <c:x val="-0.18305184907591246"/>
              <c:y val="-8.591862375567799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4527405696510521"/>
          <c:y val="0.30365827896670772"/>
          <c:w val="0.42189568582345149"/>
          <c:h val="0.55880430944491299"/>
        </c:manualLayout>
      </c:layout>
      <c:doughnutChart>
        <c:varyColors val="1"/>
        <c:ser>
          <c:idx val="0"/>
          <c:order val="0"/>
          <c:tx>
            <c:strRef>
              <c:f>Sheet2!$C$29</c:f>
              <c:strCache>
                <c:ptCount val="1"/>
                <c:pt idx="0">
                  <c:v>Total</c:v>
                </c:pt>
              </c:strCache>
            </c:strRef>
          </c:tx>
          <c:spPr>
            <a:solidFill>
              <a:schemeClr val="tx2"/>
            </a:solidFill>
            <a:ln>
              <a:solidFill>
                <a:schemeClr val="tx1"/>
              </a:solidFill>
            </a:ln>
          </c:spPr>
          <c:explosion val="51"/>
          <c:dPt>
            <c:idx val="0"/>
            <c:bubble3D val="0"/>
            <c:spPr>
              <a:solidFill>
                <a:schemeClr val="tx2"/>
              </a:solidFill>
              <a:ln w="19050">
                <a:solidFill>
                  <a:schemeClr val="tx1"/>
                </a:solidFill>
              </a:ln>
              <a:effectLst/>
            </c:spPr>
          </c:dPt>
          <c:dPt>
            <c:idx val="1"/>
            <c:bubble3D val="0"/>
            <c:spPr>
              <a:solidFill>
                <a:schemeClr val="tx2"/>
              </a:solidFill>
              <a:ln w="19050">
                <a:solidFill>
                  <a:schemeClr val="tx1"/>
                </a:solidFill>
              </a:ln>
              <a:effectLst/>
            </c:spPr>
          </c:dPt>
          <c:dPt>
            <c:idx val="2"/>
            <c:bubble3D val="0"/>
            <c:spPr>
              <a:solidFill>
                <a:schemeClr val="tx2"/>
              </a:solidFill>
              <a:ln w="19050">
                <a:solidFill>
                  <a:schemeClr val="tx1"/>
                </a:solidFill>
              </a:ln>
              <a:effectLst/>
            </c:spPr>
          </c:dPt>
          <c:dPt>
            <c:idx val="3"/>
            <c:bubble3D val="0"/>
            <c:spPr>
              <a:solidFill>
                <a:schemeClr val="tx2"/>
              </a:solidFill>
              <a:ln w="19050">
                <a:solidFill>
                  <a:schemeClr val="tx1"/>
                </a:solidFill>
              </a:ln>
              <a:effectLst/>
            </c:spPr>
          </c:dPt>
          <c:dPt>
            <c:idx val="4"/>
            <c:bubble3D val="0"/>
            <c:spPr>
              <a:solidFill>
                <a:schemeClr val="tx2"/>
              </a:solidFill>
              <a:ln w="19050">
                <a:solidFill>
                  <a:schemeClr val="tx1"/>
                </a:solidFill>
              </a:ln>
              <a:effectLst/>
            </c:spPr>
          </c:dPt>
          <c:dPt>
            <c:idx val="5"/>
            <c:bubble3D val="0"/>
            <c:spPr>
              <a:solidFill>
                <a:schemeClr val="tx2"/>
              </a:solidFill>
              <a:ln w="19050">
                <a:solidFill>
                  <a:schemeClr val="tx1"/>
                </a:solidFill>
              </a:ln>
              <a:effectLst/>
            </c:spPr>
          </c:dPt>
          <c:dPt>
            <c:idx val="6"/>
            <c:bubble3D val="0"/>
            <c:spPr>
              <a:solidFill>
                <a:schemeClr val="tx2"/>
              </a:solidFill>
              <a:ln w="19050">
                <a:solidFill>
                  <a:schemeClr val="tx1"/>
                </a:solidFill>
              </a:ln>
              <a:effectLst/>
            </c:spPr>
          </c:dPt>
          <c:dPt>
            <c:idx val="7"/>
            <c:bubble3D val="0"/>
            <c:spPr>
              <a:solidFill>
                <a:schemeClr val="tx2"/>
              </a:solidFill>
              <a:ln w="19050">
                <a:solidFill>
                  <a:schemeClr val="tx1"/>
                </a:solidFill>
              </a:ln>
              <a:effectLst/>
            </c:spPr>
          </c:dPt>
          <c:dPt>
            <c:idx val="8"/>
            <c:bubble3D val="0"/>
            <c:spPr>
              <a:solidFill>
                <a:schemeClr val="tx2"/>
              </a:solidFill>
              <a:ln w="19050">
                <a:solidFill>
                  <a:schemeClr val="tx1"/>
                </a:solidFill>
              </a:ln>
              <a:effectLst/>
            </c:spPr>
          </c:dPt>
          <c:dLbls>
            <c:dLbl>
              <c:idx val="0"/>
              <c:layout>
                <c:manualLayout>
                  <c:x val="0.28728970757747352"/>
                  <c:y val="-1.63654521439387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7288230190502835"/>
                  <c:y val="3.273090428787732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18559423586863358"/>
                  <c:y val="3.682226732386199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25932345285754266"/>
                  <c:y val="3.273090428787732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13474650001421326"/>
                  <c:y val="5.318771946780065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7.1186830196188183E-2"/>
                  <c:y val="9.81927128636318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17796707549047044"/>
                  <c:y val="3.273090428787732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16271275473414443"/>
                  <c:y val="-2.0456815179923326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18305184907591246"/>
                  <c:y val="-8.5918623755677992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Sheet2!$B$30:$B$39</c:f>
              <c:strCache>
                <c:ptCount val="9"/>
                <c:pt idx="0">
                  <c:v>Abu Dhabi</c:v>
                </c:pt>
                <c:pt idx="1">
                  <c:v>Agra</c:v>
                </c:pt>
                <c:pt idx="2">
                  <c:v>Ahmedabad</c:v>
                </c:pt>
                <c:pt idx="3">
                  <c:v>Albany</c:v>
                </c:pt>
                <c:pt idx="4">
                  <c:v>Allahabad</c:v>
                </c:pt>
                <c:pt idx="5">
                  <c:v>Amritsar</c:v>
                </c:pt>
                <c:pt idx="6">
                  <c:v>Ankara</c:v>
                </c:pt>
                <c:pt idx="7">
                  <c:v>Athens</c:v>
                </c:pt>
                <c:pt idx="8">
                  <c:v>Auckland</c:v>
                </c:pt>
              </c:strCache>
            </c:strRef>
          </c:cat>
          <c:val>
            <c:numRef>
              <c:f>Sheet2!$C$30:$C$39</c:f>
              <c:numCache>
                <c:formatCode>General</c:formatCode>
                <c:ptCount val="9"/>
                <c:pt idx="0">
                  <c:v>82383.37999999999</c:v>
                </c:pt>
                <c:pt idx="1">
                  <c:v>84132.320000000022</c:v>
                </c:pt>
                <c:pt idx="2">
                  <c:v>86041.200000000026</c:v>
                </c:pt>
                <c:pt idx="3">
                  <c:v>79868.039999999979</c:v>
                </c:pt>
                <c:pt idx="4">
                  <c:v>68952.400000000009</c:v>
                </c:pt>
                <c:pt idx="5">
                  <c:v>84036.6</c:v>
                </c:pt>
                <c:pt idx="6">
                  <c:v>84643.25</c:v>
                </c:pt>
                <c:pt idx="7">
                  <c:v>60378.760000000024</c:v>
                </c:pt>
                <c:pt idx="8">
                  <c:v>99964.79</c:v>
                </c:pt>
              </c:numCache>
            </c:numRef>
          </c:val>
        </c:ser>
        <c:dLbls>
          <c:showLegendKey val="0"/>
          <c:showVal val="1"/>
          <c:showCatName val="0"/>
          <c:showSerName val="0"/>
          <c:showPercent val="0"/>
          <c:showBubbleSize val="0"/>
          <c:showLeaderLines val="1"/>
        </c:dLbls>
        <c:firstSliceAng val="0"/>
        <c:holeSize val="80"/>
      </c:doughnutChart>
      <c:spPr>
        <a:solidFill>
          <a:srgbClr val="C00000"/>
        </a:solidFill>
        <a:ln>
          <a:noFill/>
        </a:ln>
        <a:effectLst/>
      </c:spPr>
    </c:plotArea>
    <c:plotVisOnly val="1"/>
    <c:dispBlanksAs val="gap"/>
    <c:showDLblsOverMax val="0"/>
  </c:chart>
  <c:spPr>
    <a:solidFill>
      <a:srgbClr val="C00000"/>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image" Target="../media/image7.jfi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6.png"/><Relationship Id="rId5" Type="http://schemas.openxmlformats.org/officeDocument/2006/relationships/image" Target="../media/image4.jpeg"/><Relationship Id="rId10" Type="http://schemas.openxmlformats.org/officeDocument/2006/relationships/image" Target="../media/image5.jfif"/><Relationship Id="rId4" Type="http://schemas.openxmlformats.org/officeDocument/2006/relationships/chart" Target="../charts/chart6.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6</xdr:col>
      <xdr:colOff>323850</xdr:colOff>
      <xdr:row>6</xdr:row>
      <xdr:rowOff>85725</xdr:rowOff>
    </xdr:from>
    <xdr:to>
      <xdr:col>9</xdr:col>
      <xdr:colOff>323850</xdr:colOff>
      <xdr:row>19</xdr:row>
      <xdr:rowOff>133350</xdr:rowOff>
    </xdr:to>
    <mc:AlternateContent xmlns:mc="http://schemas.openxmlformats.org/markup-compatibility/2006" xmlns:a14="http://schemas.microsoft.com/office/drawing/2010/main">
      <mc:Choice Requires="a14">
        <xdr:graphicFrame macro="">
          <xdr:nvGraphicFramePr>
            <xdr:cNvPr id="2"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248150" y="1228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16</xdr:col>
      <xdr:colOff>228600</xdr:colOff>
      <xdr:row>0</xdr:row>
      <xdr:rowOff>123825</xdr:rowOff>
    </xdr:from>
    <xdr:to>
      <xdr:col>19</xdr:col>
      <xdr:colOff>114300</xdr:colOff>
      <xdr:row>11</xdr:row>
      <xdr:rowOff>200025</xdr:rowOff>
    </xdr:to>
    <mc:AlternateContent xmlns:mc="http://schemas.openxmlformats.org/markup-compatibility/2006" xmlns:sle15="http://schemas.microsoft.com/office/drawing/2012/slicer">
      <mc:Choice Requires="sle15">
        <xdr:graphicFrame macro="">
          <xdr:nvGraphicFramePr>
            <xdr:cNvPr id="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316075" y="123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109746</xdr:colOff>
      <xdr:row>46</xdr:row>
      <xdr:rowOff>95250</xdr:rowOff>
    </xdr:from>
    <xdr:to>
      <xdr:col>6</xdr:col>
      <xdr:colOff>1047750</xdr:colOff>
      <xdr:row>64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28575</xdr:colOff>
      <xdr:row>44</xdr:row>
      <xdr:rowOff>80961</xdr:rowOff>
    </xdr:from>
    <xdr:to>
      <xdr:col>11</xdr:col>
      <xdr:colOff>895350</xdr:colOff>
      <xdr:row>59</xdr:row>
      <xdr:rowOff>142874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790575</xdr:colOff>
      <xdr:row>66</xdr:row>
      <xdr:rowOff>90487</xdr:rowOff>
    </xdr:from>
    <xdr:to>
      <xdr:col>9</xdr:col>
      <xdr:colOff>542925</xdr:colOff>
      <xdr:row>80</xdr:row>
      <xdr:rowOff>166687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309561</xdr:colOff>
      <xdr:row>45</xdr:row>
      <xdr:rowOff>128586</xdr:rowOff>
    </xdr:from>
    <xdr:to>
      <xdr:col>17</xdr:col>
      <xdr:colOff>571499</xdr:colOff>
      <xdr:row>63</xdr:row>
      <xdr:rowOff>19049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376237</xdr:colOff>
      <xdr:row>24</xdr:row>
      <xdr:rowOff>47625</xdr:rowOff>
    </xdr:from>
    <xdr:to>
      <xdr:col>14</xdr:col>
      <xdr:colOff>19050</xdr:colOff>
      <xdr:row>42</xdr:row>
      <xdr:rowOff>161925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752475</xdr:colOff>
      <xdr:row>40</xdr:row>
      <xdr:rowOff>180975</xdr:rowOff>
    </xdr:from>
    <xdr:to>
      <xdr:col>4</xdr:col>
      <xdr:colOff>438150</xdr:colOff>
      <xdr:row>45</xdr:row>
      <xdr:rowOff>142875</xdr:rowOff>
    </xdr:to>
    <mc:AlternateContent xmlns:mc="http://schemas.openxmlformats.org/markup-compatibility/2006" xmlns:a14="http://schemas.microsoft.com/office/drawing/2010/main">
      <mc:Choice Requires="a14">
        <xdr:graphicFrame macro="">
          <xdr:nvGraphicFramePr>
            <xdr:cNvPr id="7"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752475" y="7800975"/>
              <a:ext cx="31242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1019175</xdr:colOff>
      <xdr:row>2</xdr:row>
      <xdr:rowOff>76200</xdr:rowOff>
    </xdr:from>
    <xdr:to>
      <xdr:col>10</xdr:col>
      <xdr:colOff>95250</xdr:colOff>
      <xdr:row>15</xdr:row>
      <xdr:rowOff>123825</xdr:rowOff>
    </xdr:to>
    <mc:AlternateContent xmlns:mc="http://schemas.openxmlformats.org/markup-compatibility/2006" xmlns:a14="http://schemas.microsoft.com/office/drawing/2010/main">
      <mc:Choice Requires="a14">
        <xdr:graphicFrame macro="">
          <xdr:nvGraphicFramePr>
            <xdr:cNvPr id="8" name="Restaurant Name"/>
            <xdr:cNvGraphicFramePr/>
          </xdr:nvGraphicFramePr>
          <xdr:xfrm>
            <a:off x="0" y="0"/>
            <a:ext cx="0" cy="0"/>
          </xdr:xfrm>
          <a:graphic>
            <a:graphicData uri="http://schemas.microsoft.com/office/drawing/2010/slicer">
              <sle:slicer xmlns:sle="http://schemas.microsoft.com/office/drawing/2010/slicer" name="Restaurant Name"/>
            </a:graphicData>
          </a:graphic>
        </xdr:graphicFrame>
      </mc:Choice>
      <mc:Fallback xmlns="">
        <xdr:sp macro="" textlink="">
          <xdr:nvSpPr>
            <xdr:cNvPr id="0" name=""/>
            <xdr:cNvSpPr>
              <a:spLocks noTextEdit="1"/>
            </xdr:cNvSpPr>
          </xdr:nvSpPr>
          <xdr:spPr>
            <a:xfrm>
              <a:off x="8543925"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762000</xdr:colOff>
      <xdr:row>6</xdr:row>
      <xdr:rowOff>57150</xdr:rowOff>
    </xdr:from>
    <xdr:to>
      <xdr:col>8</xdr:col>
      <xdr:colOff>600075</xdr:colOff>
      <xdr:row>19</xdr:row>
      <xdr:rowOff>104775</xdr:rowOff>
    </xdr:to>
    <mc:AlternateContent xmlns:mc="http://schemas.openxmlformats.org/markup-compatibility/2006" xmlns:a14="http://schemas.microsoft.com/office/drawing/2010/main">
      <mc:Choice Requires="a14">
        <xdr:graphicFrame macro="">
          <xdr:nvGraphicFramePr>
            <xdr:cNvPr id="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296025" y="1200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571499</xdr:colOff>
      <xdr:row>7</xdr:row>
      <xdr:rowOff>19051</xdr:rowOff>
    </xdr:to>
    <xdr:sp macro="" textlink="">
      <xdr:nvSpPr>
        <xdr:cNvPr id="2" name="Rounded Rectangle 1"/>
        <xdr:cNvSpPr/>
      </xdr:nvSpPr>
      <xdr:spPr>
        <a:xfrm>
          <a:off x="0" y="0"/>
          <a:ext cx="23604681" cy="1352551"/>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15</xdr:col>
      <xdr:colOff>242455</xdr:colOff>
      <xdr:row>3</xdr:row>
      <xdr:rowOff>13607</xdr:rowOff>
    </xdr:from>
    <xdr:to>
      <xdr:col>26</xdr:col>
      <xdr:colOff>571500</xdr:colOff>
      <xdr:row>5</xdr:row>
      <xdr:rowOff>149679</xdr:rowOff>
    </xdr:to>
    <xdr:sp macro="" textlink="">
      <xdr:nvSpPr>
        <xdr:cNvPr id="4" name="TextBox 3"/>
        <xdr:cNvSpPr txBox="1"/>
      </xdr:nvSpPr>
      <xdr:spPr>
        <a:xfrm>
          <a:off x="9334500" y="585107"/>
          <a:ext cx="6996545" cy="517072"/>
        </a:xfrm>
        <a:prstGeom prst="rect">
          <a:avLst/>
        </a:prstGeom>
        <a:no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1" cap="none" spc="0">
              <a:ln w="0"/>
              <a:solidFill>
                <a:schemeClr val="bg1"/>
              </a:solidFill>
              <a:effectLst>
                <a:outerShdw blurRad="38100" dist="19050" dir="2700000" algn="tl" rotWithShape="0">
                  <a:schemeClr val="dk1">
                    <a:alpha val="40000"/>
                  </a:schemeClr>
                </a:outerShdw>
              </a:effectLst>
              <a:latin typeface="Cooper Black" panose="0208090404030B020404" pitchFamily="18" charset="0"/>
            </a:rPr>
            <a:t>ZOMATO </a:t>
          </a:r>
          <a:r>
            <a:rPr lang="en-US" sz="2400" b="1" i="1" cap="none" spc="0" baseline="0">
              <a:ln w="0"/>
              <a:solidFill>
                <a:schemeClr val="bg1"/>
              </a:solidFill>
              <a:effectLst>
                <a:outerShdw blurRad="38100" dist="19050" dir="2700000" algn="tl" rotWithShape="0">
                  <a:schemeClr val="dk1">
                    <a:alpha val="40000"/>
                  </a:schemeClr>
                </a:outerShdw>
              </a:effectLst>
              <a:latin typeface="Cooper Black" panose="0208090404030B020404" pitchFamily="18" charset="0"/>
            </a:rPr>
            <a:t> </a:t>
          </a:r>
          <a:r>
            <a:rPr lang="en-US" sz="2400" b="1" i="1" cap="none" spc="0">
              <a:ln w="0"/>
              <a:solidFill>
                <a:schemeClr val="bg1"/>
              </a:solidFill>
              <a:effectLst>
                <a:outerShdw blurRad="38100" dist="19050" dir="2700000" algn="tl" rotWithShape="0">
                  <a:schemeClr val="dk1">
                    <a:alpha val="40000"/>
                  </a:schemeClr>
                </a:outerShdw>
              </a:effectLst>
              <a:latin typeface="Cooper Black" panose="0208090404030B020404" pitchFamily="18" charset="0"/>
            </a:rPr>
            <a:t>RESTAURANTS  ANALYTICS</a:t>
          </a:r>
        </a:p>
      </xdr:txBody>
    </xdr:sp>
    <xdr:clientData/>
  </xdr:twoCellAnchor>
  <xdr:twoCellAnchor>
    <xdr:from>
      <xdr:col>0</xdr:col>
      <xdr:colOff>0</xdr:colOff>
      <xdr:row>6</xdr:row>
      <xdr:rowOff>155864</xdr:rowOff>
    </xdr:from>
    <xdr:to>
      <xdr:col>5</xdr:col>
      <xdr:colOff>467590</xdr:colOff>
      <xdr:row>62</xdr:row>
      <xdr:rowOff>173182</xdr:rowOff>
    </xdr:to>
    <xdr:sp macro="" textlink="">
      <xdr:nvSpPr>
        <xdr:cNvPr id="19" name="Rounded Rectangle 18"/>
        <xdr:cNvSpPr/>
      </xdr:nvSpPr>
      <xdr:spPr>
        <a:xfrm>
          <a:off x="0" y="1298864"/>
          <a:ext cx="3498272" cy="10685318"/>
        </a:xfrm>
        <a:prstGeom prst="roundRect">
          <a:avLst>
            <a:gd name="adj" fmla="val 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11134</xdr:colOff>
      <xdr:row>7</xdr:row>
      <xdr:rowOff>86591</xdr:rowOff>
    </xdr:from>
    <xdr:to>
      <xdr:col>22</xdr:col>
      <xdr:colOff>138546</xdr:colOff>
      <xdr:row>13</xdr:row>
      <xdr:rowOff>55666</xdr:rowOff>
    </xdr:to>
    <xdr:grpSp>
      <xdr:nvGrpSpPr>
        <xdr:cNvPr id="29" name="Group 28"/>
        <xdr:cNvGrpSpPr/>
      </xdr:nvGrpSpPr>
      <xdr:grpSpPr>
        <a:xfrm>
          <a:off x="10315452" y="1420091"/>
          <a:ext cx="3158094" cy="1112075"/>
          <a:chOff x="1733549" y="1428749"/>
          <a:chExt cx="2314576" cy="838201"/>
        </a:xfrm>
      </xdr:grpSpPr>
      <xdr:sp macro="" textlink="">
        <xdr:nvSpPr>
          <xdr:cNvPr id="30" name="Rounded Rectangle 29"/>
          <xdr:cNvSpPr/>
        </xdr:nvSpPr>
        <xdr:spPr>
          <a:xfrm>
            <a:off x="1733549" y="1428749"/>
            <a:ext cx="2314576" cy="838201"/>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xdr:cNvSpPr txBox="1"/>
        </xdr:nvSpPr>
        <xdr:spPr>
          <a:xfrm>
            <a:off x="2247900" y="1457325"/>
            <a:ext cx="1736209" cy="323850"/>
          </a:xfrm>
          <a:prstGeom prst="rect">
            <a:avLst/>
          </a:prstGeom>
          <a:solidFill>
            <a:srgbClr val="C00000"/>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baseline="0">
                <a:solidFill>
                  <a:schemeClr val="bg1"/>
                </a:solidFill>
                <a:effectLst/>
                <a:latin typeface="+mn-lt"/>
                <a:ea typeface="+mn-ea"/>
                <a:cs typeface="+mn-cs"/>
              </a:rPr>
              <a:t>AVERAGE RATINGS</a:t>
            </a:r>
            <a:endParaRPr lang="en-US" sz="2000" b="1">
              <a:solidFill>
                <a:schemeClr val="bg1"/>
              </a:solidFill>
            </a:endParaRPr>
          </a:p>
        </xdr:txBody>
      </xdr:sp>
      <xdr:sp macro="" textlink="Sheet3!V19">
        <xdr:nvSpPr>
          <xdr:cNvPr id="32" name="TextBox 31"/>
          <xdr:cNvSpPr txBox="1"/>
        </xdr:nvSpPr>
        <xdr:spPr>
          <a:xfrm>
            <a:off x="2638425" y="1885949"/>
            <a:ext cx="857250" cy="238125"/>
          </a:xfrm>
          <a:prstGeom prst="rect">
            <a:avLst/>
          </a:prstGeom>
          <a:solidFill>
            <a:srgbClr val="C00000"/>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F5F4A1-F16D-49EB-9949-B05F129EDCFA}" type="TxLink">
              <a:rPr lang="en-US" sz="2000" b="1" i="0" u="none" strike="noStrike">
                <a:solidFill>
                  <a:schemeClr val="bg1"/>
                </a:solidFill>
                <a:latin typeface="Calibri"/>
                <a:cs typeface="Calibri"/>
              </a:rPr>
              <a:pPr/>
              <a:t>3.071</a:t>
            </a:fld>
            <a:endParaRPr lang="en-US" sz="2800" b="1">
              <a:solidFill>
                <a:schemeClr val="bg1"/>
              </a:solidFill>
            </a:endParaRPr>
          </a:p>
        </xdr:txBody>
      </xdr:sp>
    </xdr:grpSp>
    <xdr:clientData/>
  </xdr:twoCellAnchor>
  <xdr:twoCellAnchor>
    <xdr:from>
      <xdr:col>22</xdr:col>
      <xdr:colOff>289460</xdr:colOff>
      <xdr:row>7</xdr:row>
      <xdr:rowOff>86591</xdr:rowOff>
    </xdr:from>
    <xdr:to>
      <xdr:col>27</xdr:col>
      <xdr:colOff>186788</xdr:colOff>
      <xdr:row>13</xdr:row>
      <xdr:rowOff>79169</xdr:rowOff>
    </xdr:to>
    <xdr:grpSp>
      <xdr:nvGrpSpPr>
        <xdr:cNvPr id="34" name="Group 33"/>
        <xdr:cNvGrpSpPr/>
      </xdr:nvGrpSpPr>
      <xdr:grpSpPr>
        <a:xfrm>
          <a:off x="13624460" y="1420091"/>
          <a:ext cx="2928010" cy="1135578"/>
          <a:chOff x="1733549" y="1428749"/>
          <a:chExt cx="2314576" cy="838201"/>
        </a:xfrm>
      </xdr:grpSpPr>
      <xdr:sp macro="" textlink="">
        <xdr:nvSpPr>
          <xdr:cNvPr id="35" name="Rounded Rectangle 34"/>
          <xdr:cNvSpPr/>
        </xdr:nvSpPr>
        <xdr:spPr>
          <a:xfrm>
            <a:off x="1733549" y="1428749"/>
            <a:ext cx="2314576" cy="838201"/>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TextBox 35"/>
          <xdr:cNvSpPr txBox="1"/>
        </xdr:nvSpPr>
        <xdr:spPr>
          <a:xfrm>
            <a:off x="2314574" y="1457325"/>
            <a:ext cx="1514475" cy="323850"/>
          </a:xfrm>
          <a:prstGeom prst="rect">
            <a:avLst/>
          </a:prstGeom>
          <a:solidFill>
            <a:srgbClr val="C00000"/>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effectLst/>
                <a:latin typeface="+mn-lt"/>
                <a:ea typeface="+mn-ea"/>
                <a:cs typeface="+mn-cs"/>
              </a:rPr>
              <a:t>TOTAL  PROFIT</a:t>
            </a:r>
            <a:r>
              <a:rPr lang="en-US" sz="2000" b="1">
                <a:solidFill>
                  <a:schemeClr val="bg1"/>
                </a:solidFill>
              </a:rPr>
              <a:t> </a:t>
            </a:r>
          </a:p>
        </xdr:txBody>
      </xdr:sp>
      <xdr:sp macro="" textlink="Sheet3!V12">
        <xdr:nvSpPr>
          <xdr:cNvPr id="37" name="TextBox 36"/>
          <xdr:cNvSpPr txBox="1"/>
        </xdr:nvSpPr>
        <xdr:spPr>
          <a:xfrm>
            <a:off x="2600910" y="1898815"/>
            <a:ext cx="1107899" cy="258967"/>
          </a:xfrm>
          <a:prstGeom prst="rect">
            <a:avLst/>
          </a:prstGeom>
          <a:solidFill>
            <a:srgbClr val="C00000"/>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35E8B3-122F-412D-AF71-9DC13713039D}" type="TxLink">
              <a:rPr lang="en-US" sz="2000" b="1" i="0" u="none" strike="noStrike">
                <a:solidFill>
                  <a:schemeClr val="bg1"/>
                </a:solidFill>
                <a:latin typeface="Calibri"/>
                <a:cs typeface="Calibri"/>
              </a:rPr>
              <a:pPr/>
              <a:t>730400.74</a:t>
            </a:fld>
            <a:endParaRPr lang="en-US" sz="2000" b="0">
              <a:solidFill>
                <a:schemeClr val="bg1"/>
              </a:solidFill>
            </a:endParaRPr>
          </a:p>
        </xdr:txBody>
      </xdr:sp>
    </xdr:grpSp>
    <xdr:clientData/>
  </xdr:twoCellAnchor>
  <xdr:twoCellAnchor>
    <xdr:from>
      <xdr:col>27</xdr:col>
      <xdr:colOff>346363</xdr:colOff>
      <xdr:row>7</xdr:row>
      <xdr:rowOff>103909</xdr:rowOff>
    </xdr:from>
    <xdr:to>
      <xdr:col>32</xdr:col>
      <xdr:colOff>329045</xdr:colOff>
      <xdr:row>13</xdr:row>
      <xdr:rowOff>65562</xdr:rowOff>
    </xdr:to>
    <xdr:grpSp>
      <xdr:nvGrpSpPr>
        <xdr:cNvPr id="44" name="Group 43"/>
        <xdr:cNvGrpSpPr/>
      </xdr:nvGrpSpPr>
      <xdr:grpSpPr>
        <a:xfrm>
          <a:off x="16712045" y="1437409"/>
          <a:ext cx="3013364" cy="1104653"/>
          <a:chOff x="1899869" y="1373103"/>
          <a:chExt cx="2314576" cy="838201"/>
        </a:xfrm>
      </xdr:grpSpPr>
      <xdr:sp macro="" textlink="">
        <xdr:nvSpPr>
          <xdr:cNvPr id="45" name="Rounded Rectangle 44"/>
          <xdr:cNvSpPr/>
        </xdr:nvSpPr>
        <xdr:spPr>
          <a:xfrm>
            <a:off x="1899869" y="1373103"/>
            <a:ext cx="2314576" cy="838201"/>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xdr:cNvSpPr txBox="1"/>
        </xdr:nvSpPr>
        <xdr:spPr>
          <a:xfrm>
            <a:off x="2381085" y="1442908"/>
            <a:ext cx="1514475" cy="460057"/>
          </a:xfrm>
          <a:prstGeom prst="rect">
            <a:avLst/>
          </a:prstGeom>
          <a:solidFill>
            <a:srgbClr val="C00000"/>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800" b="1" i="0">
                <a:solidFill>
                  <a:schemeClr val="bg1"/>
                </a:solidFill>
                <a:effectLst/>
                <a:latin typeface="+mn-lt"/>
                <a:ea typeface="+mn-ea"/>
                <a:cs typeface="+mn-cs"/>
              </a:rPr>
              <a:t>   </a:t>
            </a:r>
            <a:r>
              <a:rPr lang="en-US" sz="2000" b="1" i="0">
                <a:solidFill>
                  <a:schemeClr val="bg1"/>
                </a:solidFill>
                <a:effectLst/>
                <a:latin typeface="+mn-lt"/>
                <a:ea typeface="+mn-ea"/>
                <a:cs typeface="+mn-cs"/>
              </a:rPr>
              <a:t>AVERAGE COST</a:t>
            </a:r>
            <a:r>
              <a:rPr lang="en-US" sz="2000" b="1">
                <a:solidFill>
                  <a:schemeClr val="bg1"/>
                </a:solidFill>
                <a:effectLst/>
                <a:latin typeface="+mn-lt"/>
                <a:ea typeface="+mn-ea"/>
                <a:cs typeface="+mn-cs"/>
              </a:rPr>
              <a:t>  </a:t>
            </a:r>
            <a:endParaRPr lang="en-US" sz="4000" b="1">
              <a:solidFill>
                <a:schemeClr val="bg1"/>
              </a:solidFill>
              <a:effectLst/>
            </a:endParaRPr>
          </a:p>
          <a:p>
            <a:endParaRPr lang="en-US" sz="2400" b="1">
              <a:solidFill>
                <a:schemeClr val="bg1"/>
              </a:solidFill>
            </a:endParaRPr>
          </a:p>
        </xdr:txBody>
      </xdr:sp>
      <xdr:sp macro="" textlink="Sheet3!V16">
        <xdr:nvSpPr>
          <xdr:cNvPr id="47" name="TextBox 46"/>
          <xdr:cNvSpPr txBox="1"/>
        </xdr:nvSpPr>
        <xdr:spPr>
          <a:xfrm>
            <a:off x="2638425" y="1833561"/>
            <a:ext cx="857250" cy="230506"/>
          </a:xfrm>
          <a:prstGeom prst="rect">
            <a:avLst/>
          </a:prstGeom>
          <a:solidFill>
            <a:srgbClr val="C00000"/>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74BE65-D65D-48EB-9927-9A199D4FF611}" type="TxLink">
              <a:rPr lang="en-US" sz="2000" b="1" i="0" u="none" strike="noStrike">
                <a:solidFill>
                  <a:schemeClr val="bg1"/>
                </a:solidFill>
                <a:effectLst/>
                <a:latin typeface="Calibri"/>
                <a:ea typeface="+mn-ea"/>
                <a:cs typeface="Calibri"/>
              </a:rPr>
              <a:pPr/>
              <a:t>27.660</a:t>
            </a:fld>
            <a:endParaRPr lang="en-US" sz="2800" b="1">
              <a:solidFill>
                <a:schemeClr val="bg1"/>
              </a:solidFill>
            </a:endParaRPr>
          </a:p>
        </xdr:txBody>
      </xdr:sp>
    </xdr:grpSp>
    <xdr:clientData/>
  </xdr:twoCellAnchor>
  <xdr:twoCellAnchor editAs="oneCell">
    <xdr:from>
      <xdr:col>17</xdr:col>
      <xdr:colOff>288722</xdr:colOff>
      <xdr:row>9</xdr:row>
      <xdr:rowOff>92776</xdr:rowOff>
    </xdr:from>
    <xdr:to>
      <xdr:col>18</xdr:col>
      <xdr:colOff>54059</xdr:colOff>
      <xdr:row>11</xdr:row>
      <xdr:rowOff>149209</xdr:rowOff>
    </xdr:to>
    <xdr:pic>
      <xdr:nvPicPr>
        <xdr:cNvPr id="56" name="Picture 55" descr="Rating Icon On White Background ..."/>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93040" y="1807276"/>
          <a:ext cx="371474" cy="43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488373</xdr:colOff>
      <xdr:row>9</xdr:row>
      <xdr:rowOff>107001</xdr:rowOff>
    </xdr:from>
    <xdr:to>
      <xdr:col>23</xdr:col>
      <xdr:colOff>327809</xdr:colOff>
      <xdr:row>11</xdr:row>
      <xdr:rowOff>166174</xdr:rowOff>
    </xdr:to>
    <xdr:pic>
      <xdr:nvPicPr>
        <xdr:cNvPr id="57" name="Picture 5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823373" y="1821501"/>
          <a:ext cx="445572" cy="440173"/>
        </a:xfrm>
        <a:prstGeom prst="rect">
          <a:avLst/>
        </a:prstGeom>
        <a:solidFill>
          <a:srgbClr val="C00000"/>
        </a:solidFill>
      </xdr:spPr>
    </xdr:pic>
    <xdr:clientData/>
  </xdr:twoCellAnchor>
  <xdr:twoCellAnchor editAs="oneCell">
    <xdr:from>
      <xdr:col>10</xdr:col>
      <xdr:colOff>0</xdr:colOff>
      <xdr:row>23</xdr:row>
      <xdr:rowOff>0</xdr:rowOff>
    </xdr:from>
    <xdr:to>
      <xdr:col>10</xdr:col>
      <xdr:colOff>304800</xdr:colOff>
      <xdr:row>24</xdr:row>
      <xdr:rowOff>114300</xdr:rowOff>
    </xdr:to>
    <xdr:sp macro="" textlink="">
      <xdr:nvSpPr>
        <xdr:cNvPr id="2050" name="AutoShape 2" descr="Average Icon"/>
        <xdr:cNvSpPr>
          <a:spLocks noChangeAspect="1" noChangeArrowheads="1"/>
        </xdr:cNvSpPr>
      </xdr:nvSpPr>
      <xdr:spPr bwMode="auto">
        <a:xfrm>
          <a:off x="6096000" y="43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521525</xdr:colOff>
      <xdr:row>9</xdr:row>
      <xdr:rowOff>115911</xdr:rowOff>
    </xdr:from>
    <xdr:to>
      <xdr:col>28</xdr:col>
      <xdr:colOff>307892</xdr:colOff>
      <xdr:row>11</xdr:row>
      <xdr:rowOff>188027</xdr:rowOff>
    </xdr:to>
    <xdr:pic>
      <xdr:nvPicPr>
        <xdr:cNvPr id="61" name="Picture 6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887207" y="1830411"/>
          <a:ext cx="392503" cy="453116"/>
        </a:xfrm>
        <a:prstGeom prst="rect">
          <a:avLst/>
        </a:prstGeom>
      </xdr:spPr>
    </xdr:pic>
    <xdr:clientData/>
  </xdr:twoCellAnchor>
  <xdr:twoCellAnchor>
    <xdr:from>
      <xdr:col>32</xdr:col>
      <xdr:colOff>554181</xdr:colOff>
      <xdr:row>7</xdr:row>
      <xdr:rowOff>103910</xdr:rowOff>
    </xdr:from>
    <xdr:to>
      <xdr:col>38</xdr:col>
      <xdr:colOff>415636</xdr:colOff>
      <xdr:row>13</xdr:row>
      <xdr:rowOff>54430</xdr:rowOff>
    </xdr:to>
    <xdr:sp macro="" textlink="">
      <xdr:nvSpPr>
        <xdr:cNvPr id="63" name="Rounded Rectangle 62"/>
        <xdr:cNvSpPr/>
      </xdr:nvSpPr>
      <xdr:spPr>
        <a:xfrm>
          <a:off x="19950545" y="1437410"/>
          <a:ext cx="3498273" cy="1093520"/>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33</xdr:col>
      <xdr:colOff>190500</xdr:colOff>
      <xdr:row>7</xdr:row>
      <xdr:rowOff>138545</xdr:rowOff>
    </xdr:from>
    <xdr:to>
      <xdr:col>38</xdr:col>
      <xdr:colOff>22576</xdr:colOff>
      <xdr:row>12</xdr:row>
      <xdr:rowOff>173182</xdr:rowOff>
    </xdr:to>
    <mc:AlternateContent xmlns:mc="http://schemas.openxmlformats.org/markup-compatibility/2006" xmlns:a14="http://schemas.microsoft.com/office/drawing/2010/main">
      <mc:Choice Requires="a14">
        <xdr:graphicFrame macro="">
          <xdr:nvGraphicFramePr>
            <xdr:cNvPr id="67" name="Order Date 1"/>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19050001" y="1544100"/>
              <a:ext cx="4005758" cy="898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155864</xdr:colOff>
      <xdr:row>14</xdr:row>
      <xdr:rowOff>0</xdr:rowOff>
    </xdr:from>
    <xdr:to>
      <xdr:col>18</xdr:col>
      <xdr:colOff>484909</xdr:colOff>
      <xdr:row>33</xdr:row>
      <xdr:rowOff>51955</xdr:rowOff>
    </xdr:to>
    <xdr:grpSp>
      <xdr:nvGrpSpPr>
        <xdr:cNvPr id="11" name="Group 10"/>
        <xdr:cNvGrpSpPr/>
      </xdr:nvGrpSpPr>
      <xdr:grpSpPr>
        <a:xfrm>
          <a:off x="3792682" y="2667000"/>
          <a:ext cx="7602682" cy="3671455"/>
          <a:chOff x="2424546" y="2667000"/>
          <a:chExt cx="7481454" cy="3456214"/>
        </a:xfrm>
      </xdr:grpSpPr>
      <xdr:sp macro="" textlink="">
        <xdr:nvSpPr>
          <xdr:cNvPr id="3" name="Rounded Rectangle 2"/>
          <xdr:cNvSpPr/>
        </xdr:nvSpPr>
        <xdr:spPr>
          <a:xfrm>
            <a:off x="2424546" y="2667000"/>
            <a:ext cx="7481454" cy="3456214"/>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7"/>
          <xdr:cNvGraphicFramePr>
            <a:graphicFrameLocks/>
          </xdr:cNvGraphicFramePr>
        </xdr:nvGraphicFramePr>
        <xdr:xfrm>
          <a:off x="2707823" y="2788225"/>
          <a:ext cx="6907801" cy="319891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182878</xdr:colOff>
      <xdr:row>33</xdr:row>
      <xdr:rowOff>34636</xdr:rowOff>
    </xdr:from>
    <xdr:to>
      <xdr:col>5</xdr:col>
      <xdr:colOff>277090</xdr:colOff>
      <xdr:row>55</xdr:row>
      <xdr:rowOff>51955</xdr:rowOff>
    </xdr:to>
    <mc:AlternateContent xmlns:mc="http://schemas.openxmlformats.org/markup-compatibility/2006" xmlns:a14="http://schemas.microsoft.com/office/drawing/2010/main">
      <mc:Choice Requires="a14">
        <xdr:graphicFrame macro="">
          <xdr:nvGraphicFramePr>
            <xdr:cNvPr id="68" name="Restaurant Name 1"/>
            <xdr:cNvGraphicFramePr>
              <a:graphicFrameLocks/>
            </xdr:cNvGraphicFramePr>
          </xdr:nvGraphicFramePr>
          <xdr:xfrm>
            <a:off x="0" y="0"/>
            <a:ext cx="0" cy="0"/>
          </xdr:xfrm>
          <a:graphic>
            <a:graphicData uri="http://schemas.microsoft.com/office/drawing/2010/slicer">
              <sle:slicer xmlns:sle="http://schemas.microsoft.com/office/drawing/2010/slicer" name="Restaurant Name 1"/>
            </a:graphicData>
          </a:graphic>
        </xdr:graphicFrame>
      </mc:Choice>
      <mc:Fallback xmlns="">
        <xdr:sp macro="" textlink="">
          <xdr:nvSpPr>
            <xdr:cNvPr id="0" name=""/>
            <xdr:cNvSpPr>
              <a:spLocks noTextEdit="1"/>
            </xdr:cNvSpPr>
          </xdr:nvSpPr>
          <xdr:spPr>
            <a:xfrm>
              <a:off x="182878" y="6321136"/>
              <a:ext cx="3124894" cy="4208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588816</xdr:colOff>
      <xdr:row>7</xdr:row>
      <xdr:rowOff>69274</xdr:rowOff>
    </xdr:from>
    <xdr:to>
      <xdr:col>29</xdr:col>
      <xdr:colOff>502228</xdr:colOff>
      <xdr:row>33</xdr:row>
      <xdr:rowOff>17318</xdr:rowOff>
    </xdr:to>
    <xdr:grpSp>
      <xdr:nvGrpSpPr>
        <xdr:cNvPr id="9" name="Group 8"/>
        <xdr:cNvGrpSpPr/>
      </xdr:nvGrpSpPr>
      <xdr:grpSpPr>
        <a:xfrm>
          <a:off x="7256316" y="1402774"/>
          <a:ext cx="10823867" cy="4901044"/>
          <a:chOff x="7256316" y="1402774"/>
          <a:chExt cx="10512139" cy="4901044"/>
        </a:xfrm>
      </xdr:grpSpPr>
      <xdr:grpSp>
        <xdr:nvGrpSpPr>
          <xdr:cNvPr id="28" name="Group 27"/>
          <xdr:cNvGrpSpPr/>
        </xdr:nvGrpSpPr>
        <xdr:grpSpPr>
          <a:xfrm>
            <a:off x="7256316" y="1402774"/>
            <a:ext cx="2770906" cy="1121970"/>
            <a:chOff x="3033177" y="1359662"/>
            <a:chExt cx="1980384" cy="921512"/>
          </a:xfrm>
        </xdr:grpSpPr>
        <xdr:sp macro="" textlink="">
          <xdr:nvSpPr>
            <xdr:cNvPr id="23" name="Rounded Rectangle 22"/>
            <xdr:cNvSpPr/>
          </xdr:nvSpPr>
          <xdr:spPr>
            <a:xfrm>
              <a:off x="3033177" y="1359662"/>
              <a:ext cx="1980384" cy="921512"/>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xdr:cNvSpPr txBox="1"/>
          </xdr:nvSpPr>
          <xdr:spPr>
            <a:xfrm>
              <a:off x="3515183" y="1501901"/>
              <a:ext cx="1386985" cy="307720"/>
            </a:xfrm>
            <a:prstGeom prst="rect">
              <a:avLst/>
            </a:prstGeom>
            <a:solidFill>
              <a:srgbClr val="C00000"/>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effectLst/>
                  <a:latin typeface="+mn-lt"/>
                  <a:ea typeface="+mn-ea"/>
                  <a:cs typeface="+mn-cs"/>
                </a:rPr>
                <a:t>TOTAL SALES</a:t>
              </a:r>
              <a:r>
                <a:rPr lang="en-US" sz="2000" b="1">
                  <a:solidFill>
                    <a:schemeClr val="bg1"/>
                  </a:solidFill>
                </a:rPr>
                <a:t> </a:t>
              </a:r>
            </a:p>
          </xdr:txBody>
        </xdr:sp>
        <xdr:sp macro="" textlink="Sheet3!V8">
          <xdr:nvSpPr>
            <xdr:cNvPr id="25" name="TextBox 24"/>
            <xdr:cNvSpPr txBox="1"/>
          </xdr:nvSpPr>
          <xdr:spPr>
            <a:xfrm>
              <a:off x="3690505" y="1914397"/>
              <a:ext cx="1027682" cy="355602"/>
            </a:xfrm>
            <a:prstGeom prst="rect">
              <a:avLst/>
            </a:prstGeom>
            <a:solidFill>
              <a:srgbClr val="C00000"/>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443479-42B1-4CA8-9F82-B24A2F603B40}" type="TxLink">
                <a:rPr lang="en-US" sz="2000" b="1" i="0" u="none" strike="noStrike">
                  <a:solidFill>
                    <a:schemeClr val="bg1"/>
                  </a:solidFill>
                  <a:latin typeface="Calibri"/>
                  <a:cs typeface="Calibri"/>
                </a:rPr>
                <a:pPr/>
                <a:t>735452.2</a:t>
              </a:fld>
              <a:endParaRPr lang="en-US" sz="2800" b="1">
                <a:solidFill>
                  <a:schemeClr val="bg1"/>
                </a:solidFill>
              </a:endParaRPr>
            </a:p>
          </xdr:txBody>
        </xdr:sp>
        <xdr:pic>
          <xdr:nvPicPr>
            <xdr:cNvPr id="27" name="Picture 2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136392" y="1729006"/>
              <a:ext cx="357190" cy="357190"/>
            </a:xfrm>
            <a:prstGeom prst="rect">
              <a:avLst/>
            </a:prstGeom>
          </xdr:spPr>
        </xdr:pic>
      </xdr:grpSp>
      <xdr:sp macro="" textlink="">
        <xdr:nvSpPr>
          <xdr:cNvPr id="5" name="Rounded Rectangle 4"/>
          <xdr:cNvSpPr/>
        </xdr:nvSpPr>
        <xdr:spPr>
          <a:xfrm>
            <a:off x="11343437" y="2718954"/>
            <a:ext cx="6425018" cy="3584864"/>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19</xdr:col>
      <xdr:colOff>173182</xdr:colOff>
      <xdr:row>15</xdr:row>
      <xdr:rowOff>69272</xdr:rowOff>
    </xdr:from>
    <xdr:to>
      <xdr:col>28</xdr:col>
      <xdr:colOff>519546</xdr:colOff>
      <xdr:row>31</xdr:row>
      <xdr:rowOff>155864</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259773</xdr:colOff>
      <xdr:row>33</xdr:row>
      <xdr:rowOff>103909</xdr:rowOff>
    </xdr:from>
    <xdr:to>
      <xdr:col>38</xdr:col>
      <xdr:colOff>207818</xdr:colOff>
      <xdr:row>54</xdr:row>
      <xdr:rowOff>155864</xdr:rowOff>
    </xdr:to>
    <xdr:sp macro="" textlink="">
      <xdr:nvSpPr>
        <xdr:cNvPr id="40" name="Rounded Rectangle 39"/>
        <xdr:cNvSpPr/>
      </xdr:nvSpPr>
      <xdr:spPr>
        <a:xfrm>
          <a:off x="14200909" y="6390409"/>
          <a:ext cx="9040091" cy="4052455"/>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121227</xdr:colOff>
      <xdr:row>33</xdr:row>
      <xdr:rowOff>155864</xdr:rowOff>
    </xdr:from>
    <xdr:to>
      <xdr:col>37</xdr:col>
      <xdr:colOff>329047</xdr:colOff>
      <xdr:row>53</xdr:row>
      <xdr:rowOff>86591</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207818</xdr:colOff>
      <xdr:row>34</xdr:row>
      <xdr:rowOff>17316</xdr:rowOff>
    </xdr:from>
    <xdr:to>
      <xdr:col>23</xdr:col>
      <xdr:colOff>155864</xdr:colOff>
      <xdr:row>54</xdr:row>
      <xdr:rowOff>121225</xdr:rowOff>
    </xdr:to>
    <xdr:sp macro="" textlink="">
      <xdr:nvSpPr>
        <xdr:cNvPr id="43" name="Rounded Rectangle 42"/>
        <xdr:cNvSpPr/>
      </xdr:nvSpPr>
      <xdr:spPr>
        <a:xfrm>
          <a:off x="3844636" y="6494316"/>
          <a:ext cx="10252364" cy="3913909"/>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571500</xdr:colOff>
      <xdr:row>14</xdr:row>
      <xdr:rowOff>72057</xdr:rowOff>
    </xdr:from>
    <xdr:to>
      <xdr:col>38</xdr:col>
      <xdr:colOff>187099</xdr:colOff>
      <xdr:row>33</xdr:row>
      <xdr:rowOff>51954</xdr:rowOff>
    </xdr:to>
    <xdr:sp macro="" textlink="">
      <xdr:nvSpPr>
        <xdr:cNvPr id="48" name="Rounded Rectangle 47"/>
        <xdr:cNvSpPr/>
      </xdr:nvSpPr>
      <xdr:spPr>
        <a:xfrm>
          <a:off x="18149455" y="2739057"/>
          <a:ext cx="5070826" cy="3599397"/>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536864</xdr:colOff>
      <xdr:row>34</xdr:row>
      <xdr:rowOff>69273</xdr:rowOff>
    </xdr:from>
    <xdr:to>
      <xdr:col>22</xdr:col>
      <xdr:colOff>329045</xdr:colOff>
      <xdr:row>53</xdr:row>
      <xdr:rowOff>51956</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173182</xdr:colOff>
      <xdr:row>15</xdr:row>
      <xdr:rowOff>17318</xdr:rowOff>
    </xdr:from>
    <xdr:to>
      <xdr:col>37</xdr:col>
      <xdr:colOff>536864</xdr:colOff>
      <xdr:row>32</xdr:row>
      <xdr:rowOff>21463</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311727</xdr:colOff>
      <xdr:row>7</xdr:row>
      <xdr:rowOff>69273</xdr:rowOff>
    </xdr:from>
    <xdr:to>
      <xdr:col>11</xdr:col>
      <xdr:colOff>381000</xdr:colOff>
      <xdr:row>13</xdr:row>
      <xdr:rowOff>50717</xdr:rowOff>
    </xdr:to>
    <xdr:grpSp>
      <xdr:nvGrpSpPr>
        <xdr:cNvPr id="51" name="Group 50"/>
        <xdr:cNvGrpSpPr/>
      </xdr:nvGrpSpPr>
      <xdr:grpSpPr>
        <a:xfrm>
          <a:off x="3948545" y="1402773"/>
          <a:ext cx="3099955" cy="1124444"/>
          <a:chOff x="1733549" y="1428749"/>
          <a:chExt cx="2314576" cy="838201"/>
        </a:xfrm>
      </xdr:grpSpPr>
      <xdr:sp macro="" textlink="">
        <xdr:nvSpPr>
          <xdr:cNvPr id="52" name="Rounded Rectangle 51"/>
          <xdr:cNvSpPr/>
        </xdr:nvSpPr>
        <xdr:spPr>
          <a:xfrm>
            <a:off x="1733549" y="1428749"/>
            <a:ext cx="2314576" cy="838201"/>
          </a:xfrm>
          <a:prstGeom prst="roundRect">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xdr:cNvSpPr txBox="1"/>
        </xdr:nvSpPr>
        <xdr:spPr>
          <a:xfrm>
            <a:off x="2314574" y="1457325"/>
            <a:ext cx="1514475" cy="323851"/>
          </a:xfrm>
          <a:prstGeom prst="rect">
            <a:avLst/>
          </a:prstGeom>
          <a:solidFill>
            <a:srgbClr val="C00000"/>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effectLst/>
                <a:latin typeface="+mn-lt"/>
                <a:ea typeface="+mn-ea"/>
                <a:cs typeface="+mn-cs"/>
              </a:rPr>
              <a:t>TOTAL</a:t>
            </a:r>
            <a:r>
              <a:rPr lang="en-US" sz="2000" b="1" i="0" u="none" strike="noStrike" baseline="0">
                <a:solidFill>
                  <a:schemeClr val="bg1"/>
                </a:solidFill>
                <a:effectLst/>
                <a:latin typeface="+mn-lt"/>
                <a:ea typeface="+mn-ea"/>
                <a:cs typeface="+mn-cs"/>
              </a:rPr>
              <a:t> ORDERS</a:t>
            </a:r>
            <a:endParaRPr lang="en-US" sz="2000" b="1">
              <a:solidFill>
                <a:schemeClr val="bg1"/>
              </a:solidFill>
            </a:endParaRPr>
          </a:p>
        </xdr:txBody>
      </xdr:sp>
      <xdr:sp macro="" textlink="Sheet3!V25">
        <xdr:nvSpPr>
          <xdr:cNvPr id="54" name="TextBox 53"/>
          <xdr:cNvSpPr txBox="1"/>
        </xdr:nvSpPr>
        <xdr:spPr>
          <a:xfrm>
            <a:off x="2638425" y="1855470"/>
            <a:ext cx="1027682" cy="327151"/>
          </a:xfrm>
          <a:prstGeom prst="rect">
            <a:avLst/>
          </a:prstGeom>
          <a:solidFill>
            <a:srgbClr val="C00000"/>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20FB66-5098-4E40-9458-E321B76D7F24}" type="TxLink">
              <a:rPr lang="en-US" sz="2000" b="1" i="0" u="none" strike="noStrike">
                <a:solidFill>
                  <a:schemeClr val="bg1"/>
                </a:solidFill>
                <a:latin typeface="Calibri"/>
                <a:cs typeface="Calibri"/>
              </a:rPr>
              <a:pPr/>
              <a:t>10732</a:t>
            </a:fld>
            <a:endParaRPr lang="en-US" sz="3200" b="1">
              <a:solidFill>
                <a:schemeClr val="bg1"/>
              </a:solidFill>
            </a:endParaRPr>
          </a:p>
        </xdr:txBody>
      </xdr:sp>
    </xdr:grpSp>
    <xdr:clientData/>
  </xdr:twoCellAnchor>
  <xdr:twoCellAnchor editAs="oneCell">
    <xdr:from>
      <xdr:col>0</xdr:col>
      <xdr:colOff>225133</xdr:colOff>
      <xdr:row>12</xdr:row>
      <xdr:rowOff>138545</xdr:rowOff>
    </xdr:from>
    <xdr:to>
      <xdr:col>5</xdr:col>
      <xdr:colOff>222363</xdr:colOff>
      <xdr:row>32</xdr:row>
      <xdr:rowOff>17317</xdr:rowOff>
    </xdr:to>
    <mc:AlternateContent xmlns:mc="http://schemas.openxmlformats.org/markup-compatibility/2006" xmlns:a14="http://schemas.microsoft.com/office/drawing/2010/main">
      <mc:Choice Requires="a14">
        <xdr:graphicFrame macro="">
          <xdr:nvGraphicFramePr>
            <xdr:cNvPr id="59"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25133" y="2424545"/>
              <a:ext cx="3027912" cy="3688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393789</xdr:colOff>
      <xdr:row>9</xdr:row>
      <xdr:rowOff>34637</xdr:rowOff>
    </xdr:from>
    <xdr:to>
      <xdr:col>7</xdr:col>
      <xdr:colOff>379134</xdr:colOff>
      <xdr:row>11</xdr:row>
      <xdr:rowOff>173182</xdr:rowOff>
    </xdr:to>
    <xdr:pic>
      <xdr:nvPicPr>
        <xdr:cNvPr id="12" name="Picture 11"/>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030607" y="1749137"/>
          <a:ext cx="591482" cy="519545"/>
        </a:xfrm>
        <a:prstGeom prst="rect">
          <a:avLst/>
        </a:prstGeom>
      </xdr:spPr>
    </xdr:pic>
    <xdr:clientData/>
  </xdr:twoCellAnchor>
  <xdr:twoCellAnchor editAs="oneCell">
    <xdr:from>
      <xdr:col>32</xdr:col>
      <xdr:colOff>554181</xdr:colOff>
      <xdr:row>0</xdr:row>
      <xdr:rowOff>173183</xdr:rowOff>
    </xdr:from>
    <xdr:to>
      <xdr:col>36</xdr:col>
      <xdr:colOff>216477</xdr:colOff>
      <xdr:row>6</xdr:row>
      <xdr:rowOff>127457</xdr:rowOff>
    </xdr:to>
    <xdr:pic>
      <xdr:nvPicPr>
        <xdr:cNvPr id="22" name="Picture 21"/>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9950545" y="173183"/>
          <a:ext cx="2086841" cy="1097274"/>
        </a:xfrm>
        <a:prstGeom prst="rect">
          <a:avLst/>
        </a:prstGeom>
      </xdr:spPr>
    </xdr:pic>
    <xdr:clientData/>
  </xdr:twoCellAnchor>
  <xdr:twoCellAnchor editAs="oneCell">
    <xdr:from>
      <xdr:col>0</xdr:col>
      <xdr:colOff>69272</xdr:colOff>
      <xdr:row>0</xdr:row>
      <xdr:rowOff>34637</xdr:rowOff>
    </xdr:from>
    <xdr:to>
      <xdr:col>5</xdr:col>
      <xdr:colOff>100195</xdr:colOff>
      <xdr:row>9</xdr:row>
      <xdr:rowOff>34636</xdr:rowOff>
    </xdr:to>
    <xdr:pic>
      <xdr:nvPicPr>
        <xdr:cNvPr id="26" name="Picture 25"/>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9272" y="34637"/>
          <a:ext cx="3061605" cy="17144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user" refreshedDate="45926.556668171295" createdVersion="5" refreshedVersion="5" minRefreshableVersion="3" recordCount="1000">
  <cacheSource type="worksheet">
    <worksheetSource name="Table1"/>
  </cacheSource>
  <cacheFields count="18">
    <cacheField name="OrderID" numFmtId="0">
      <sharedItems/>
    </cacheField>
    <cacheField name="Order Date" numFmtId="14">
      <sharedItems containsSemiMixedTypes="0" containsNonDate="0" containsDate="1" containsString="0" minDate="2010-01-02T00:00:00" maxDate="2019-01-01T00:00:00" count="852">
        <d v="2012-07-03T00:00:00"/>
        <d v="2014-09-03T00:00:00"/>
        <d v="2016-10-08T00:00:00"/>
        <d v="2016-03-21T00:00:00"/>
        <d v="2016-02-07T00:00:00"/>
        <d v="2017-12-05T00:00:00"/>
        <d v="2010-04-02T00:00:00"/>
        <d v="2018-04-09T00:00:00"/>
        <d v="2016-01-27T00:00:00"/>
        <d v="2010-08-08T00:00:00"/>
        <d v="2015-01-14T00:00:00"/>
        <d v="2010-06-14T00:00:00"/>
        <d v="2016-12-15T00:00:00"/>
        <d v="2011-11-05T00:00:00"/>
        <d v="2011-04-28T00:00:00"/>
        <d v="2013-03-31T00:00:00"/>
        <d v="2013-06-06T00:00:00"/>
        <d v="2016-05-17T00:00:00"/>
        <d v="2018-12-18T00:00:00"/>
        <d v="2013-08-18T00:00:00"/>
        <d v="2016-03-30T00:00:00"/>
        <d v="2017-10-10T00:00:00"/>
        <d v="2011-06-24T00:00:00"/>
        <d v="2011-02-17T00:00:00"/>
        <d v="2011-07-21T00:00:00"/>
        <d v="2013-02-26T00:00:00"/>
        <d v="2017-12-07T00:00:00"/>
        <d v="2013-12-25T00:00:00"/>
        <d v="2013-04-13T00:00:00"/>
        <d v="2013-03-15T00:00:00"/>
        <d v="2012-12-18T00:00:00"/>
        <d v="2015-11-03T00:00:00"/>
        <d v="2012-09-15T00:00:00"/>
        <d v="2011-11-17T00:00:00"/>
        <d v="2014-08-18T00:00:00"/>
        <d v="2015-02-16T00:00:00"/>
        <d v="2014-06-07T00:00:00"/>
        <d v="2018-07-04T00:00:00"/>
        <d v="2011-04-18T00:00:00"/>
        <d v="2013-05-04T00:00:00"/>
        <d v="2018-10-02T00:00:00"/>
        <d v="2013-06-13T00:00:00"/>
        <d v="2011-10-25T00:00:00"/>
        <d v="2012-09-24T00:00:00"/>
        <d v="2017-02-25T00:00:00"/>
        <d v="2012-05-25T00:00:00"/>
        <d v="2015-03-18T00:00:00"/>
        <d v="2012-07-23T00:00:00"/>
        <d v="2011-04-27T00:00:00"/>
        <d v="2013-07-21T00:00:00"/>
        <d v="2014-06-28T00:00:00"/>
        <d v="2014-11-22T00:00:00"/>
        <d v="2016-11-12T00:00:00"/>
        <d v="2016-10-12T00:00:00"/>
        <d v="2013-03-14T00:00:00"/>
        <d v="2015-04-11T00:00:00"/>
        <d v="2012-11-24T00:00:00"/>
        <d v="2010-05-29T00:00:00"/>
        <d v="2012-03-06T00:00:00"/>
        <d v="2018-12-04T00:00:00"/>
        <d v="2013-09-18T00:00:00"/>
        <d v="2011-06-29T00:00:00"/>
        <d v="2018-06-04T00:00:00"/>
        <d v="2016-11-21T00:00:00"/>
        <d v="2014-11-10T00:00:00"/>
        <d v="2016-09-27T00:00:00"/>
        <d v="2015-04-03T00:00:00"/>
        <d v="2010-11-14T00:00:00"/>
        <d v="2015-12-02T00:00:00"/>
        <d v="2011-08-26T00:00:00"/>
        <d v="2013-01-03T00:00:00"/>
        <d v="2016-06-06T00:00:00"/>
        <d v="2016-07-18T00:00:00"/>
        <d v="2014-04-18T00:00:00"/>
        <d v="2015-04-13T00:00:00"/>
        <d v="2017-05-28T00:00:00"/>
        <d v="2017-08-24T00:00:00"/>
        <d v="2016-04-04T00:00:00"/>
        <d v="2018-06-12T00:00:00"/>
        <d v="2014-09-21T00:00:00"/>
        <d v="2011-07-11T00:00:00"/>
        <d v="2010-07-16T00:00:00"/>
        <d v="2017-07-18T00:00:00"/>
        <d v="2013-12-09T00:00:00"/>
        <d v="2012-05-01T00:00:00"/>
        <d v="2016-05-01T00:00:00"/>
        <d v="2015-05-17T00:00:00"/>
        <d v="2012-07-04T00:00:00"/>
        <d v="2010-03-30T00:00:00"/>
        <d v="2016-11-29T00:00:00"/>
        <d v="2010-10-08T00:00:00"/>
        <d v="2011-08-25T00:00:00"/>
        <d v="2015-12-31T00:00:00"/>
        <d v="2017-10-07T00:00:00"/>
        <d v="2014-03-04T00:00:00"/>
        <d v="2018-10-05T00:00:00"/>
        <d v="2018-02-28T00:00:00"/>
        <d v="2010-01-02T00:00:00"/>
        <d v="2016-05-28T00:00:00"/>
        <d v="2014-11-30T00:00:00"/>
        <d v="2018-11-30T00:00:00"/>
        <d v="2017-01-22T00:00:00"/>
        <d v="2012-05-09T00:00:00"/>
        <d v="2014-04-19T00:00:00"/>
        <d v="2017-04-20T00:00:00"/>
        <d v="2011-06-07T00:00:00"/>
        <d v="2011-08-30T00:00:00"/>
        <d v="2011-05-09T00:00:00"/>
        <d v="2014-12-02T00:00:00"/>
        <d v="2014-09-01T00:00:00"/>
        <d v="2016-08-20T00:00:00"/>
        <d v="2012-08-30T00:00:00"/>
        <d v="2013-01-09T00:00:00"/>
        <d v="2014-08-04T00:00:00"/>
        <d v="2013-10-27T00:00:00"/>
        <d v="2016-08-10T00:00:00"/>
        <d v="2011-05-29T00:00:00"/>
        <d v="2011-05-02T00:00:00"/>
        <d v="2015-05-18T00:00:00"/>
        <d v="2018-01-13T00:00:00"/>
        <d v="2015-07-15T00:00:00"/>
        <d v="2018-07-07T00:00:00"/>
        <d v="2013-07-01T00:00:00"/>
        <d v="2011-09-01T00:00:00"/>
        <d v="2012-12-25T00:00:00"/>
        <d v="2016-02-22T00:00:00"/>
        <d v="2018-08-16T00:00:00"/>
        <d v="2016-03-04T00:00:00"/>
        <d v="2015-05-02T00:00:00"/>
        <d v="2011-11-16T00:00:00"/>
        <d v="2010-01-15T00:00:00"/>
        <d v="2015-04-25T00:00:00"/>
        <d v="2016-07-25T00:00:00"/>
        <d v="2018-03-17T00:00:00"/>
        <d v="2015-09-21T00:00:00"/>
        <d v="2014-11-08T00:00:00"/>
        <d v="2015-12-08T00:00:00"/>
        <d v="2016-04-14T00:00:00"/>
        <d v="2018-08-06T00:00:00"/>
        <d v="2010-12-24T00:00:00"/>
        <d v="2017-06-30T00:00:00"/>
        <d v="2013-09-11T00:00:00"/>
        <d v="2018-12-15T00:00:00"/>
        <d v="2010-07-11T00:00:00"/>
        <d v="2014-11-14T00:00:00"/>
        <d v="2010-06-12T00:00:00"/>
        <d v="2011-01-18T00:00:00"/>
        <d v="2010-09-11T00:00:00"/>
        <d v="2010-10-21T00:00:00"/>
        <d v="2015-08-20T00:00:00"/>
        <d v="2010-03-17T00:00:00"/>
        <d v="2016-04-27T00:00:00"/>
        <d v="2017-09-11T00:00:00"/>
        <d v="2011-05-06T00:00:00"/>
        <d v="2012-01-10T00:00:00"/>
        <d v="2016-02-05T00:00:00"/>
        <d v="2018-03-05T00:00:00"/>
        <d v="2016-01-06T00:00:00"/>
        <d v="2016-07-06T00:00:00"/>
        <d v="2012-04-17T00:00:00"/>
        <d v="2017-10-30T00:00:00"/>
        <d v="2010-06-11T00:00:00"/>
        <d v="2014-12-28T00:00:00"/>
        <d v="2014-12-03T00:00:00"/>
        <d v="2012-08-11T00:00:00"/>
        <d v="2010-07-18T00:00:00"/>
        <d v="2015-05-01T00:00:00"/>
        <d v="2015-11-24T00:00:00"/>
        <d v="2012-07-16T00:00:00"/>
        <d v="2015-03-07T00:00:00"/>
        <d v="2016-07-08T00:00:00"/>
        <d v="2010-02-11T00:00:00"/>
        <d v="2016-09-21T00:00:00"/>
        <d v="2018-03-12T00:00:00"/>
        <d v="2014-09-26T00:00:00"/>
        <d v="2011-03-17T00:00:00"/>
        <d v="2016-12-21T00:00:00"/>
        <d v="2016-05-19T00:00:00"/>
        <d v="2018-03-04T00:00:00"/>
        <d v="2011-07-02T00:00:00"/>
        <d v="2018-10-19T00:00:00"/>
        <d v="2011-07-27T00:00:00"/>
        <d v="2016-07-21T00:00:00"/>
        <d v="2012-04-26T00:00:00"/>
        <d v="2011-09-24T00:00:00"/>
        <d v="2017-02-23T00:00:00"/>
        <d v="2012-07-09T00:00:00"/>
        <d v="2017-07-29T00:00:00"/>
        <d v="2010-01-05T00:00:00"/>
        <d v="2012-12-29T00:00:00"/>
        <d v="2016-07-15T00:00:00"/>
        <d v="2018-01-02T00:00:00"/>
        <d v="2015-07-17T00:00:00"/>
        <d v="2016-03-27T00:00:00"/>
        <d v="2011-09-27T00:00:00"/>
        <d v="2013-08-29T00:00:00"/>
        <d v="2010-08-01T00:00:00"/>
        <d v="2016-07-28T00:00:00"/>
        <d v="2011-11-20T00:00:00"/>
        <d v="2016-09-12T00:00:00"/>
        <d v="2018-07-15T00:00:00"/>
        <d v="2010-09-25T00:00:00"/>
        <d v="2017-07-05T00:00:00"/>
        <d v="2010-09-20T00:00:00"/>
        <d v="2016-03-10T00:00:00"/>
        <d v="2017-09-20T00:00:00"/>
        <d v="2013-11-16T00:00:00"/>
        <d v="2015-06-29T00:00:00"/>
        <d v="2016-08-31T00:00:00"/>
        <d v="2016-10-13T00:00:00"/>
        <d v="2018-07-10T00:00:00"/>
        <d v="2014-10-31T00:00:00"/>
        <d v="2016-07-23T00:00:00"/>
        <d v="2013-06-15T00:00:00"/>
        <d v="2011-03-09T00:00:00"/>
        <d v="2018-09-20T00:00:00"/>
        <d v="2010-11-12T00:00:00"/>
        <d v="2012-11-23T00:00:00"/>
        <d v="2018-04-13T00:00:00"/>
        <d v="2015-02-21T00:00:00"/>
        <d v="2014-01-11T00:00:00"/>
        <d v="2014-08-26T00:00:00"/>
        <d v="2016-09-13T00:00:00"/>
        <d v="2013-08-30T00:00:00"/>
        <d v="2010-08-31T00:00:00"/>
        <d v="2010-11-10T00:00:00"/>
        <d v="2011-09-09T00:00:00"/>
        <d v="2017-06-26T00:00:00"/>
        <d v="2018-06-16T00:00:00"/>
        <d v="2017-01-08T00:00:00"/>
        <d v="2014-12-25T00:00:00"/>
        <d v="2012-08-02T00:00:00"/>
        <d v="2011-03-01T00:00:00"/>
        <d v="2018-06-15T00:00:00"/>
        <d v="2013-02-21T00:00:00"/>
        <d v="2012-01-25T00:00:00"/>
        <d v="2015-10-02T00:00:00"/>
        <d v="2012-09-14T00:00:00"/>
        <d v="2016-05-24T00:00:00"/>
        <d v="2013-09-16T00:00:00"/>
        <d v="2016-11-16T00:00:00"/>
        <d v="2014-05-29T00:00:00"/>
        <d v="2017-12-15T00:00:00"/>
        <d v="2010-07-03T00:00:00"/>
        <d v="2010-02-21T00:00:00"/>
        <d v="2015-09-24T00:00:00"/>
        <d v="2011-11-06T00:00:00"/>
        <d v="2015-12-24T00:00:00"/>
        <d v="2010-04-13T00:00:00"/>
        <d v="2011-08-29T00:00:00"/>
        <d v="2013-01-12T00:00:00"/>
        <d v="2012-01-16T00:00:00"/>
        <d v="2010-11-17T00:00:00"/>
        <d v="2017-05-17T00:00:00"/>
        <d v="2018-05-02T00:00:00"/>
        <d v="2017-11-26T00:00:00"/>
        <d v="2017-03-05T00:00:00"/>
        <d v="2018-10-10T00:00:00"/>
        <d v="2016-09-25T00:00:00"/>
        <d v="2017-04-10T00:00:00"/>
        <d v="2010-08-24T00:00:00"/>
        <d v="2016-03-14T00:00:00"/>
        <d v="2018-10-09T00:00:00"/>
        <d v="2012-07-28T00:00:00"/>
        <d v="2016-09-08T00:00:00"/>
        <d v="2011-02-08T00:00:00"/>
        <d v="2018-02-08T00:00:00"/>
        <d v="2014-10-14T00:00:00"/>
        <d v="2011-07-04T00:00:00"/>
        <d v="2014-01-28T00:00:00"/>
        <d v="2017-11-02T00:00:00"/>
        <d v="2012-09-08T00:00:00"/>
        <d v="2012-06-10T00:00:00"/>
        <d v="2017-05-31T00:00:00"/>
        <d v="2012-10-03T00:00:00"/>
        <d v="2012-03-04T00:00:00"/>
        <d v="2016-02-03T00:00:00"/>
        <d v="2017-07-06T00:00:00"/>
        <d v="2013-05-18T00:00:00"/>
        <d v="2018-08-19T00:00:00"/>
        <d v="2012-09-12T00:00:00"/>
        <d v="2015-10-01T00:00:00"/>
        <d v="2013-09-03T00:00:00"/>
        <d v="2014-03-19T00:00:00"/>
        <d v="2015-08-03T00:00:00"/>
        <d v="2018-05-07T00:00:00"/>
        <d v="2014-02-25T00:00:00"/>
        <d v="2011-05-15T00:00:00"/>
        <d v="2017-09-25T00:00:00"/>
        <d v="2014-08-15T00:00:00"/>
        <d v="2010-07-29T00:00:00"/>
        <d v="2017-03-13T00:00:00"/>
        <d v="2012-10-16T00:00:00"/>
        <d v="2010-01-20T00:00:00"/>
        <d v="2017-01-15T00:00:00"/>
        <d v="2010-09-17T00:00:00"/>
        <d v="2017-03-24T00:00:00"/>
        <d v="2018-10-28T00:00:00"/>
        <d v="2014-05-04T00:00:00"/>
        <d v="2015-12-07T00:00:00"/>
        <d v="2014-01-21T00:00:00"/>
        <d v="2010-09-29T00:00:00"/>
        <d v="2015-02-02T00:00:00"/>
        <d v="2014-06-21T00:00:00"/>
        <d v="2016-08-07T00:00:00"/>
        <d v="2010-07-14T00:00:00"/>
        <d v="2015-07-03T00:00:00"/>
        <d v="2018-10-12T00:00:00"/>
        <d v="2017-01-29T00:00:00"/>
        <d v="2018-12-10T00:00:00"/>
        <d v="2011-07-13T00:00:00"/>
        <d v="2010-12-03T00:00:00"/>
        <d v="2013-02-12T00:00:00"/>
        <d v="2011-11-18T00:00:00"/>
        <d v="2015-01-13T00:00:00"/>
        <d v="2015-10-10T00:00:00"/>
        <d v="2017-10-13T00:00:00"/>
        <d v="2017-03-28T00:00:00"/>
        <d v="2013-10-15T00:00:00"/>
        <d v="2016-09-17T00:00:00"/>
        <d v="2016-10-10T00:00:00"/>
        <d v="2011-07-08T00:00:00"/>
        <d v="2015-05-25T00:00:00"/>
        <d v="2018-05-31T00:00:00"/>
        <d v="2018-12-07T00:00:00"/>
        <d v="2012-04-02T00:00:00"/>
        <d v="2015-08-05T00:00:00"/>
        <d v="2018-10-04T00:00:00"/>
        <d v="2015-11-27T00:00:00"/>
        <d v="2016-12-10T00:00:00"/>
        <d v="2010-03-25T00:00:00"/>
        <d v="2018-12-20T00:00:00"/>
        <d v="2011-01-19T00:00:00"/>
        <d v="2012-04-04T00:00:00"/>
        <d v="2017-10-21T00:00:00"/>
        <d v="2013-06-11T00:00:00"/>
        <d v="2014-08-27T00:00:00"/>
        <d v="2010-09-06T00:00:00"/>
        <d v="2016-08-15T00:00:00"/>
        <d v="2010-11-03T00:00:00"/>
        <d v="2011-12-11T00:00:00"/>
        <d v="2016-06-08T00:00:00"/>
        <d v="2010-07-27T00:00:00"/>
        <d v="2012-03-11T00:00:00"/>
        <d v="2015-01-06T00:00:00"/>
        <d v="2010-01-13T00:00:00"/>
        <d v="2011-03-22T00:00:00"/>
        <d v="2015-11-20T00:00:00"/>
        <d v="2016-01-29T00:00:00"/>
        <d v="2017-12-08T00:00:00"/>
        <d v="2018-06-17T00:00:00"/>
        <d v="2010-10-05T00:00:00"/>
        <d v="2013-12-31T00:00:00"/>
        <d v="2010-11-13T00:00:00"/>
        <d v="2011-06-27T00:00:00"/>
        <d v="2012-02-12T00:00:00"/>
        <d v="2017-06-05T00:00:00"/>
        <d v="2015-06-24T00:00:00"/>
        <d v="2010-06-05T00:00:00"/>
        <d v="2011-03-27T00:00:00"/>
        <d v="2016-12-23T00:00:00"/>
        <d v="2013-08-17T00:00:00"/>
        <d v="2014-06-23T00:00:00"/>
        <d v="2018-01-18T00:00:00"/>
        <d v="2015-04-15T00:00:00"/>
        <d v="2011-11-07T00:00:00"/>
        <d v="2015-12-01T00:00:00"/>
        <d v="2013-01-26T00:00:00"/>
        <d v="2018-03-31T00:00:00"/>
        <d v="2010-09-28T00:00:00"/>
        <d v="2013-04-22T00:00:00"/>
        <d v="2014-03-29T00:00:00"/>
        <d v="2013-05-07T00:00:00"/>
        <d v="2011-01-09T00:00:00"/>
        <d v="2017-10-20T00:00:00"/>
        <d v="2017-07-17T00:00:00"/>
        <d v="2010-02-17T00:00:00"/>
        <d v="2010-11-23T00:00:00"/>
        <d v="2016-07-27T00:00:00"/>
        <d v="2018-09-06T00:00:00"/>
        <d v="2015-12-04T00:00:00"/>
        <d v="2013-07-07T00:00:00"/>
        <d v="2010-04-30T00:00:00"/>
        <d v="2015-03-02T00:00:00"/>
        <d v="2017-01-27T00:00:00"/>
        <d v="2016-03-09T00:00:00"/>
        <d v="2011-10-17T00:00:00"/>
        <d v="2011-11-13T00:00:00"/>
        <d v="2015-01-26T00:00:00"/>
        <d v="2014-08-28T00:00:00"/>
        <d v="2012-07-08T00:00:00"/>
        <d v="2017-12-31T00:00:00"/>
        <d v="2011-05-31T00:00:00"/>
        <d v="2010-09-02T00:00:00"/>
        <d v="2013-11-04T00:00:00"/>
        <d v="2016-03-08T00:00:00"/>
        <d v="2012-01-27T00:00:00"/>
        <d v="2015-04-28T00:00:00"/>
        <d v="2014-06-08T00:00:00"/>
        <d v="2015-12-18T00:00:00"/>
        <d v="2018-03-20T00:00:00"/>
        <d v="2010-05-22T00:00:00"/>
        <d v="2017-10-11T00:00:00"/>
        <d v="2016-10-25T00:00:00"/>
        <d v="2017-09-06T00:00:00"/>
        <d v="2014-10-13T00:00:00"/>
        <d v="2011-04-13T00:00:00"/>
        <d v="2012-10-12T00:00:00"/>
        <d v="2014-02-18T00:00:00"/>
        <d v="2012-05-02T00:00:00"/>
        <d v="2018-04-10T00:00:00"/>
        <d v="2016-01-18T00:00:00"/>
        <d v="2011-03-30T00:00:00"/>
        <d v="2012-11-10T00:00:00"/>
        <d v="2017-05-08T00:00:00"/>
        <d v="2010-08-26T00:00:00"/>
        <d v="2014-08-16T00:00:00"/>
        <d v="2010-12-29T00:00:00"/>
        <d v="2017-02-20T00:00:00"/>
        <d v="2015-12-27T00:00:00"/>
        <d v="2016-01-08T00:00:00"/>
        <d v="2010-10-14T00:00:00"/>
        <d v="2018-07-03T00:00:00"/>
        <d v="2010-11-15T00:00:00"/>
        <d v="2010-05-26T00:00:00"/>
        <d v="2017-03-04T00:00:00"/>
        <d v="2014-11-09T00:00:00"/>
        <d v="2013-10-28T00:00:00"/>
        <d v="2015-06-17T00:00:00"/>
        <d v="2010-03-28T00:00:00"/>
        <d v="2010-03-18T00:00:00"/>
        <d v="2010-06-06T00:00:00"/>
        <d v="2013-06-23T00:00:00"/>
        <d v="2010-03-20T00:00:00"/>
        <d v="2015-05-03T00:00:00"/>
        <d v="2016-06-11T00:00:00"/>
        <d v="2015-03-11T00:00:00"/>
        <d v="2011-11-11T00:00:00"/>
        <d v="2013-08-12T00:00:00"/>
        <d v="2018-12-19T00:00:00"/>
        <d v="2013-08-08T00:00:00"/>
        <d v="2018-09-12T00:00:00"/>
        <d v="2015-08-22T00:00:00"/>
        <d v="2011-04-24T00:00:00"/>
        <d v="2016-02-15T00:00:00"/>
        <d v="2017-06-22T00:00:00"/>
        <d v="2017-09-22T00:00:00"/>
        <d v="2013-11-01T00:00:00"/>
        <d v="2015-08-04T00:00:00"/>
        <d v="2014-02-23T00:00:00"/>
        <d v="2014-10-17T00:00:00"/>
        <d v="2012-07-05T00:00:00"/>
        <d v="2013-06-08T00:00:00"/>
        <d v="2011-08-07T00:00:00"/>
        <d v="2017-02-09T00:00:00"/>
        <d v="2011-08-09T00:00:00"/>
        <d v="2011-11-19T00:00:00"/>
        <d v="2015-12-15T00:00:00"/>
        <d v="2010-02-07T00:00:00"/>
        <d v="2014-02-10T00:00:00"/>
        <d v="2013-07-31T00:00:00"/>
        <d v="2014-12-01T00:00:00"/>
        <d v="2011-05-28T00:00:00"/>
        <d v="2012-04-21T00:00:00"/>
        <d v="2016-11-06T00:00:00"/>
        <d v="2012-01-17T00:00:00"/>
        <d v="2017-06-21T00:00:00"/>
        <d v="2017-09-27T00:00:00"/>
        <d v="2013-10-11T00:00:00"/>
        <d v="2018-11-29T00:00:00"/>
        <d v="2014-09-22T00:00:00"/>
        <d v="2010-05-27T00:00:00"/>
        <d v="2014-09-27T00:00:00"/>
        <d v="2018-03-01T00:00:00"/>
        <d v="2015-11-02T00:00:00"/>
        <d v="2013-09-29T00:00:00"/>
        <d v="2018-04-20T00:00:00"/>
        <d v="2012-03-29T00:00:00"/>
        <d v="2018-12-29T00:00:00"/>
        <d v="2011-05-26T00:00:00"/>
        <d v="2015-01-24T00:00:00"/>
        <d v="2011-05-13T00:00:00"/>
        <d v="2017-11-14T00:00:00"/>
        <d v="2017-02-28T00:00:00"/>
        <d v="2010-03-09T00:00:00"/>
        <d v="2013-07-04T00:00:00"/>
        <d v="2018-11-12T00:00:00"/>
        <d v="2014-06-15T00:00:00"/>
        <d v="2010-08-20T00:00:00"/>
        <d v="2011-05-14T00:00:00"/>
        <d v="2015-02-25T00:00:00"/>
        <d v="2013-03-20T00:00:00"/>
        <d v="2012-12-02T00:00:00"/>
        <d v="2015-03-15T00:00:00"/>
        <d v="2016-06-28T00:00:00"/>
        <d v="2013-06-12T00:00:00"/>
        <d v="2017-08-27T00:00:00"/>
        <d v="2014-06-24T00:00:00"/>
        <d v="2014-04-15T00:00:00"/>
        <d v="2015-11-06T00:00:00"/>
        <d v="2017-07-28T00:00:00"/>
        <d v="2014-12-18T00:00:00"/>
        <d v="2010-06-19T00:00:00"/>
        <d v="2010-10-01T00:00:00"/>
        <d v="2013-06-27T00:00:00"/>
        <d v="2018-12-27T00:00:00"/>
        <d v="2014-01-12T00:00:00"/>
        <d v="2012-08-15T00:00:00"/>
        <d v="2011-09-06T00:00:00"/>
        <d v="2013-08-24T00:00:00"/>
        <d v="2017-03-07T00:00:00"/>
        <d v="2012-01-20T00:00:00"/>
        <d v="2011-09-28T00:00:00"/>
        <d v="2011-06-26T00:00:00"/>
        <d v="2014-03-17T00:00:00"/>
        <d v="2015-06-04T00:00:00"/>
        <d v="2012-01-30T00:00:00"/>
        <d v="2014-09-07T00:00:00"/>
        <d v="2012-10-22T00:00:00"/>
        <d v="2017-04-24T00:00:00"/>
        <d v="2014-09-19T00:00:00"/>
        <d v="2016-05-25T00:00:00"/>
        <d v="2017-06-20T00:00:00"/>
        <d v="2014-12-19T00:00:00"/>
        <d v="2015-05-19T00:00:00"/>
        <d v="2011-01-28T00:00:00"/>
        <d v="2011-06-22T00:00:00"/>
        <d v="2011-07-29T00:00:00"/>
        <d v="2018-03-09T00:00:00"/>
        <d v="2018-12-31T00:00:00"/>
        <d v="2011-07-22T00:00:00"/>
        <d v="2010-06-25T00:00:00"/>
        <d v="2017-12-23T00:00:00"/>
        <d v="2018-02-05T00:00:00"/>
        <d v="2010-09-01T00:00:00"/>
        <d v="2016-08-13T00:00:00"/>
        <d v="2017-11-30T00:00:00"/>
        <d v="2013-07-12T00:00:00"/>
        <d v="2018-02-15T00:00:00"/>
        <d v="2011-03-02T00:00:00"/>
        <d v="2014-09-12T00:00:00"/>
        <d v="2010-10-25T00:00:00"/>
        <d v="2012-07-14T00:00:00"/>
        <d v="2016-02-08T00:00:00"/>
        <d v="2016-04-18T00:00:00"/>
        <d v="2010-04-22T00:00:00"/>
        <d v="2012-11-12T00:00:00"/>
        <d v="2016-02-23T00:00:00"/>
        <d v="2013-04-25T00:00:00"/>
        <d v="2018-02-09T00:00:00"/>
        <d v="2018-05-08T00:00:00"/>
        <d v="2014-03-26T00:00:00"/>
        <d v="2017-04-19T00:00:00"/>
        <d v="2017-05-30T00:00:00"/>
        <d v="2015-03-20T00:00:00"/>
        <d v="2012-06-11T00:00:00"/>
        <d v="2012-07-13T00:00:00"/>
        <d v="2016-07-24T00:00:00"/>
        <d v="2018-02-20T00:00:00"/>
        <d v="2018-08-30T00:00:00"/>
        <d v="2011-02-23T00:00:00"/>
        <d v="2017-10-31T00:00:00"/>
        <d v="2013-10-17T00:00:00"/>
        <d v="2011-09-22T00:00:00"/>
        <d v="2012-05-08T00:00:00"/>
        <d v="2015-09-28T00:00:00"/>
        <d v="2014-05-30T00:00:00"/>
        <d v="2010-07-17T00:00:00"/>
        <d v="2011-08-24T00:00:00"/>
        <d v="2018-09-15T00:00:00"/>
        <d v="2015-11-30T00:00:00"/>
        <d v="2011-09-15T00:00:00"/>
        <d v="2015-10-20T00:00:00"/>
        <d v="2013-01-22T00:00:00"/>
        <d v="2010-12-19T00:00:00"/>
        <d v="2012-03-15T00:00:00"/>
        <d v="2016-04-23T00:00:00"/>
        <d v="2018-11-11T00:00:00"/>
        <d v="2015-11-19T00:00:00"/>
        <d v="2011-01-25T00:00:00"/>
        <d v="2010-12-14T00:00:00"/>
        <d v="2015-03-10T00:00:00"/>
        <d v="2013-08-01T00:00:00"/>
        <d v="2016-12-17T00:00:00"/>
        <d v="2012-05-04T00:00:00"/>
        <d v="2011-12-15T00:00:00"/>
        <d v="2018-11-24T00:00:00"/>
        <d v="2016-09-16T00:00:00"/>
        <d v="2017-01-25T00:00:00"/>
        <d v="2018-09-17T00:00:00"/>
        <d v="2012-07-01T00:00:00"/>
        <d v="2014-06-13T00:00:00"/>
        <d v="2016-10-17T00:00:00"/>
        <d v="2014-03-22T00:00:00"/>
        <d v="2014-03-21T00:00:00"/>
        <d v="2011-10-27T00:00:00"/>
        <d v="2018-01-01T00:00:00"/>
        <d v="2014-03-02T00:00:00"/>
        <d v="2014-12-10T00:00:00"/>
        <d v="2010-05-21T00:00:00"/>
        <d v="2014-02-07T00:00:00"/>
        <d v="2016-10-15T00:00:00"/>
        <d v="2016-02-02T00:00:00"/>
        <d v="2014-05-08T00:00:00"/>
        <d v="2016-10-14T00:00:00"/>
        <d v="2017-02-11T00:00:00"/>
        <d v="2018-07-08T00:00:00"/>
        <d v="2010-09-10T00:00:00"/>
        <d v="2013-12-23T00:00:00"/>
        <d v="2017-01-10T00:00:00"/>
        <d v="2014-09-20T00:00:00"/>
        <d v="2015-06-22T00:00:00"/>
        <d v="2010-05-01T00:00:00"/>
        <d v="2015-05-29T00:00:00"/>
        <d v="2015-03-06T00:00:00"/>
        <d v="2017-12-02T00:00:00"/>
        <d v="2010-01-19T00:00:00"/>
        <d v="2010-06-08T00:00:00"/>
        <d v="2012-06-19T00:00:00"/>
        <d v="2016-05-13T00:00:00"/>
        <d v="2017-05-25T00:00:00"/>
        <d v="2015-07-10T00:00:00"/>
        <d v="2014-05-17T00:00:00"/>
        <d v="2015-05-11T00:00:00"/>
        <d v="2016-04-09T00:00:00"/>
        <d v="2016-02-25T00:00:00"/>
        <d v="2015-01-21T00:00:00"/>
        <d v="2013-04-03T00:00:00"/>
        <d v="2012-05-23T00:00:00"/>
        <d v="2017-10-25T00:00:00"/>
        <d v="2014-07-04T00:00:00"/>
        <d v="2018-04-11T00:00:00"/>
        <d v="2016-11-18T00:00:00"/>
        <d v="2018-06-10T00:00:00"/>
        <d v="2018-11-26T00:00:00"/>
        <d v="2015-03-24T00:00:00"/>
        <d v="2016-06-09T00:00:00"/>
        <d v="2016-10-26T00:00:00"/>
        <d v="2013-05-12T00:00:00"/>
        <d v="2016-01-12T00:00:00"/>
        <d v="2013-03-02T00:00:00"/>
        <d v="2014-09-28T00:00:00"/>
        <d v="2011-01-29T00:00:00"/>
        <d v="2014-07-05T00:00:00"/>
        <d v="2011-05-24T00:00:00"/>
        <d v="2017-05-19T00:00:00"/>
        <d v="2017-03-11T00:00:00"/>
        <d v="2014-10-15T00:00:00"/>
        <d v="2012-03-03T00:00:00"/>
        <d v="2015-06-20T00:00:00"/>
        <d v="2018-06-09T00:00:00"/>
        <d v="2016-11-14T00:00:00"/>
        <d v="2015-03-05T00:00:00"/>
        <d v="2012-08-19T00:00:00"/>
        <d v="2014-10-26T00:00:00"/>
        <d v="2015-01-07T00:00:00"/>
        <d v="2015-11-29T00:00:00"/>
        <d v="2014-02-01T00:00:00"/>
        <d v="2018-04-06T00:00:00"/>
        <d v="2012-02-26T00:00:00"/>
        <d v="2013-12-10T00:00:00"/>
        <d v="2013-08-10T00:00:00"/>
        <d v="2010-10-03T00:00:00"/>
        <d v="2010-05-19T00:00:00"/>
        <d v="2015-03-25T00:00:00"/>
        <d v="2016-01-01T00:00:00"/>
        <d v="2016-05-21T00:00:00"/>
        <d v="2014-02-16T00:00:00"/>
        <d v="2013-11-07T00:00:00"/>
        <d v="2012-07-15T00:00:00"/>
        <d v="2018-02-22T00:00:00"/>
        <d v="2016-11-01T00:00:00"/>
        <d v="2011-04-09T00:00:00"/>
        <d v="2013-04-01T00:00:00"/>
        <d v="2017-08-08T00:00:00"/>
        <d v="2012-01-31T00:00:00"/>
        <d v="2014-11-26T00:00:00"/>
        <d v="2017-11-24T00:00:00"/>
        <d v="2014-12-31T00:00:00"/>
        <d v="2017-12-01T00:00:00"/>
        <d v="2016-05-30T00:00:00"/>
        <d v="2013-12-05T00:00:00"/>
        <d v="2010-12-12T00:00:00"/>
        <d v="2015-07-11T00:00:00"/>
        <d v="2012-11-18T00:00:00"/>
        <d v="2013-05-28T00:00:00"/>
        <d v="2011-12-21T00:00:00"/>
        <d v="2017-07-11T00:00:00"/>
        <d v="2011-04-17T00:00:00"/>
        <d v="2012-05-15T00:00:00"/>
        <d v="2010-06-21T00:00:00"/>
        <d v="2013-11-06T00:00:00"/>
        <d v="2018-04-04T00:00:00"/>
        <d v="2012-06-05T00:00:00"/>
        <d v="2010-11-01T00:00:00"/>
        <d v="2010-12-09T00:00:00"/>
        <d v="2013-05-05T00:00:00"/>
        <d v="2012-05-13T00:00:00"/>
        <d v="2016-04-21T00:00:00"/>
        <d v="2013-10-21T00:00:00"/>
        <d v="2015-11-23T00:00:00"/>
        <d v="2015-01-11T00:00:00"/>
        <d v="2010-03-13T00:00:00"/>
        <d v="2014-06-06T00:00:00"/>
        <d v="2016-03-31T00:00:00"/>
        <d v="2010-11-28T00:00:00"/>
        <d v="2010-09-26T00:00:00"/>
        <d v="2012-03-26T00:00:00"/>
        <d v="2011-10-12T00:00:00"/>
        <d v="2017-03-15T00:00:00"/>
        <d v="2017-11-17T00:00:00"/>
        <d v="2013-05-17T00:00:00"/>
        <d v="2014-03-28T00:00:00"/>
        <d v="2017-03-06T00:00:00"/>
        <d v="2010-06-27T00:00:00"/>
        <d v="2016-04-26T00:00:00"/>
        <d v="2013-08-28T00:00:00"/>
        <d v="2018-04-24T00:00:00"/>
        <d v="2014-06-16T00:00:00"/>
        <d v="2014-07-19T00:00:00"/>
        <d v="2014-04-24T00:00:00"/>
        <d v="2017-05-13T00:00:00"/>
        <d v="2011-01-11T00:00:00"/>
        <d v="2017-07-14T00:00:00"/>
        <d v="2013-11-03T00:00:00"/>
        <d v="2010-03-21T00:00:00"/>
        <d v="2012-03-16T00:00:00"/>
        <d v="2015-06-28T00:00:00"/>
        <d v="2015-08-07T00:00:00"/>
        <d v="2013-10-19T00:00:00"/>
        <d v="2012-01-13T00:00:00"/>
        <d v="2012-11-07T00:00:00"/>
        <d v="2012-05-10T00:00:00"/>
        <d v="2016-08-03T00:00:00"/>
        <d v="2013-03-30T00:00:00"/>
        <d v="2012-04-28T00:00:00"/>
        <d v="2012-03-10T00:00:00"/>
        <d v="2016-11-05T00:00:00"/>
        <d v="2018-07-26T00:00:00"/>
        <d v="2017-04-14T00:00:00"/>
        <d v="2015-04-05T00:00:00"/>
        <d v="2016-10-31T00:00:00"/>
        <d v="2018-10-01T00:00:00"/>
        <d v="2018-07-30T00:00:00"/>
        <d v="2012-01-18T00:00:00"/>
        <d v="2015-03-30T00:00:00"/>
        <d v="2014-04-10T00:00:00"/>
        <d v="2012-08-29T00:00:00"/>
        <d v="2011-07-03T00:00:00"/>
        <d v="2016-12-18T00:00:00"/>
        <d v="2011-10-31T00:00:00"/>
        <d v="2016-03-17T00:00:00"/>
        <d v="2018-04-18T00:00:00"/>
        <d v="2013-05-02T00:00:00"/>
        <d v="2016-11-10T00:00:00"/>
        <d v="2014-04-17T00:00:00"/>
        <d v="2013-01-20T00:00:00"/>
        <d v="2014-04-13T00:00:00"/>
        <d v="2011-03-03T00:00:00"/>
        <d v="2012-08-23T00:00:00"/>
        <d v="2013-01-07T00:00:00"/>
        <d v="2018-09-01T00:00:00"/>
        <d v="2017-01-02T00:00:00"/>
        <d v="2018-08-10T00:00:00"/>
        <d v="2013-04-15T00:00:00"/>
        <d v="2015-08-15T00:00:00"/>
        <d v="2017-01-30T00:00:00"/>
        <d v="2011-02-02T00:00:00"/>
        <d v="2016-08-21T00:00:00"/>
        <d v="2014-09-10T00:00:00"/>
        <d v="2015-06-03T00:00:00"/>
        <d v="2016-05-10T00:00:00"/>
        <d v="2010-01-29T00:00:00"/>
        <d v="2018-10-20T00:00:00"/>
        <d v="2011-02-19T00:00:00"/>
        <d v="2010-05-13T00:00:00"/>
        <d v="2017-08-04T00:00:00"/>
        <d v="2012-07-24T00:00:00"/>
        <d v="2016-10-07T00:00:00"/>
        <d v="2012-02-05T00:00:00"/>
        <d v="2016-08-01T00:00:00"/>
        <d v="2018-02-27T00:00:00"/>
        <d v="2011-09-23T00:00:00"/>
        <d v="2018-06-26T00:00:00"/>
        <d v="2012-12-05T00:00:00"/>
        <d v="2015-08-23T00:00:00"/>
        <d v="2014-08-08T00:00:00"/>
        <d v="2018-03-30T00:00:00"/>
        <d v="2014-10-01T00:00:00"/>
        <d v="2010-09-21T00:00:00"/>
        <d v="2012-03-17T00:00:00"/>
        <d v="2010-07-24T00:00:00"/>
        <d v="2015-09-19T00:00:00"/>
        <d v="2011-10-07T00:00:00"/>
        <d v="2016-10-06T00:00:00"/>
        <d v="2014-02-27T00:00:00"/>
        <d v="2014-07-31T00:00:00"/>
        <d v="2013-09-07T00:00:00"/>
        <d v="2013-01-11T00:00:00"/>
        <d v="2013-10-09T00:00:00"/>
        <d v="2011-04-03T00:00:00"/>
        <d v="2016-02-10T00:00:00"/>
        <d v="2017-02-24T00:00:00"/>
        <d v="2015-02-08T00:00:00"/>
        <d v="2017-04-28T00:00:00"/>
        <d v="2016-11-28T00:00:00"/>
        <d v="2011-07-14T00:00:00"/>
        <d v="2017-03-12T00:00:00"/>
        <d v="2012-09-16T00:00:00"/>
        <d v="2011-07-19T00:00:00"/>
        <d v="2017-10-27T00:00:00"/>
        <d v="2017-09-30T00:00:00"/>
        <d v="2015-02-27T00:00:00"/>
        <d v="2012-02-13T00:00:00"/>
        <d v="2014-07-25T00:00:00"/>
        <d v="2018-01-17T00:00:00"/>
        <d v="2013-06-26T00:00:00"/>
        <d v="2014-10-28T00:00:00"/>
        <d v="2017-06-28T00:00:00"/>
        <d v="2016-03-06T00:00:00"/>
        <d v="2012-10-24T00:00:00"/>
        <d v="2017-09-09T00:00:00"/>
        <d v="2014-12-13T00:00:00"/>
        <d v="2014-05-15T00:00:00"/>
        <d v="2010-03-10T00:00:00"/>
        <d v="2013-04-28T00:00:00"/>
        <d v="2018-03-11T00:00:00"/>
        <d v="2015-06-25T00:00:00"/>
        <d v="2017-09-03T00:00:00"/>
        <d v="2015-12-10T00:00:00"/>
        <d v="2013-09-22T00:00:00"/>
        <d v="2012-05-28T00:00:00"/>
        <d v="2016-05-31T00:00:00"/>
        <d v="2017-10-04T00:00:00"/>
        <d v="2016-12-11T00:00:00"/>
        <d v="2014-11-24T00:00:00"/>
        <d v="2016-09-15T00:00:00"/>
        <d v="2015-05-23T00:00:00"/>
        <d v="2017-08-10T00:00:00"/>
        <d v="2017-10-17T00:00:00"/>
        <d v="2017-04-18T00:00:00"/>
        <d v="2011-10-24T00:00:00"/>
        <d v="2014-03-01T00:00:00"/>
        <d v="2011-06-06T00:00:00"/>
        <d v="2015-01-17T00:00:00"/>
        <d v="2017-08-15T00:00:00"/>
        <d v="2010-05-15T00:00:00"/>
        <d v="2011-12-09T00:00:00"/>
        <d v="2016-02-24T00:00:00"/>
        <d v="2018-07-23T00:00:00"/>
        <d v="2018-02-14T00:00:00"/>
        <d v="2014-05-14T00:00:00"/>
      </sharedItems>
      <fieldGroup base="1">
        <rangePr groupBy="months" startDate="2010-01-02T00:00:00" endDate="2019-01-01T00:00:00"/>
        <groupItems count="14">
          <s v="&lt;1/2/2010"/>
          <s v="Jan"/>
          <s v="Feb"/>
          <s v="Mar"/>
          <s v="Apr"/>
          <s v="May"/>
          <s v="Jun"/>
          <s v="Jul"/>
          <s v="Aug"/>
          <s v="Sep"/>
          <s v="Oct"/>
          <s v="Nov"/>
          <s v="Dec"/>
          <s v="&gt;1/1/2019"/>
        </groupItems>
      </fieldGroup>
    </cacheField>
    <cacheField name="Restaurant Name" numFmtId="0">
      <sharedItems count="10">
        <s v="Food Fiesta"/>
        <s v="Pizza World"/>
        <s v="Burger House"/>
        <s v="Spice Hub"/>
        <s v="Grill Master"/>
        <s v="Dragon Express"/>
        <s v="Sushi Corner"/>
        <s v="Tandoori Tales"/>
        <s v="Cafe Aroma"/>
        <s v="Curry Point"/>
      </sharedItems>
    </cacheField>
    <cacheField name="CustomerID" numFmtId="0">
      <sharedItems/>
    </cacheField>
    <cacheField name="Customer Name" numFmtId="0">
      <sharedItems/>
    </cacheField>
    <cacheField name="Country" numFmtId="0">
      <sharedItems/>
    </cacheField>
    <cacheField name="City" numFmtId="0">
      <sharedItems count="9">
        <s v="Amritsar"/>
        <s v="Albany"/>
        <s v="Auckland"/>
        <s v="Agra"/>
        <s v="Ankara"/>
        <s v="Athens"/>
        <s v="Ahmedabad"/>
        <s v="Allahabad"/>
        <s v="Abu Dhabi"/>
      </sharedItems>
    </cacheField>
    <cacheField name="Cuisine" numFmtId="0">
      <sharedItems count="5">
        <s v="Cafe"/>
        <s v="North Indian, Mughlai"/>
        <s v="Chinese"/>
        <s v="North Indian, Chinese"/>
        <s v="North Indian"/>
      </sharedItems>
    </cacheField>
    <cacheField name="Food Name" numFmtId="0">
      <sharedItems count="15">
        <s v="Tandoori Roti"/>
        <s v="Pasta Alfredo"/>
        <s v="Momos"/>
        <s v="Cheeseburger"/>
        <s v="Chicken Biryani"/>
        <s v="Veg Biryani"/>
        <s v="Margherita Pizza"/>
        <s v="Shawarma"/>
        <s v="Paneer Tikka"/>
        <s v="Sushi Platter"/>
        <s v="Spring Rolls"/>
        <s v="Butter Chicken"/>
        <s v="Masala Dosa"/>
        <s v="Fried Rice"/>
        <s v="Grilled Sandwich"/>
      </sharedItems>
    </cacheField>
    <cacheField name="Votes" numFmtId="0">
      <sharedItems containsSemiMixedTypes="0" containsString="0" containsNumber="1" containsInteger="1" minValue="52" maxValue="4996"/>
    </cacheField>
    <cacheField name="Average Cost for Two (USD)" numFmtId="0">
      <sharedItems containsSemiMixedTypes="0" containsString="0" containsNumber="1" minValue="5.03" maxValue="49.96"/>
    </cacheField>
    <cacheField name="Rating" numFmtId="0">
      <sharedItems containsSemiMixedTypes="0" containsString="0" containsNumber="1" minValue="1" maxValue="5"/>
    </cacheField>
    <cacheField name="Price" numFmtId="0">
      <sharedItems containsSemiMixedTypes="0" containsString="0" containsNumber="1" minValue="5.0199999999999996" maxValue="39.979999999999997" count="869">
        <n v="9.0500000000000007"/>
        <n v="12.51"/>
        <n v="12.97"/>
        <n v="36.130000000000003"/>
        <n v="26.01"/>
        <n v="5.35"/>
        <n v="16.96"/>
        <n v="7.41"/>
        <n v="10.5"/>
        <n v="19.22"/>
        <n v="10.66"/>
        <n v="21.46"/>
        <n v="27.37"/>
        <n v="39.51"/>
        <n v="19.23"/>
        <n v="19.579999999999998"/>
        <n v="26.63"/>
        <n v="17.920000000000002"/>
        <n v="17.61"/>
        <n v="29.91"/>
        <n v="19.78"/>
        <n v="35.6"/>
        <n v="26.52"/>
        <n v="21.74"/>
        <n v="5.21"/>
        <n v="22.02"/>
        <n v="33.17"/>
        <n v="10.1"/>
        <n v="25.26"/>
        <n v="38.97"/>
        <n v="19.38"/>
        <n v="38.79"/>
        <n v="7.15"/>
        <n v="19.059999999999999"/>
        <n v="30.76"/>
        <n v="22.83"/>
        <n v="23.4"/>
        <n v="12.04"/>
        <n v="36.44"/>
        <n v="12.87"/>
        <n v="8.86"/>
        <n v="16.89"/>
        <n v="10.65"/>
        <n v="9.61"/>
        <n v="30.47"/>
        <n v="11.63"/>
        <n v="38.81"/>
        <n v="21.86"/>
        <n v="24.09"/>
        <n v="23.6"/>
        <n v="9.08"/>
        <n v="25.25"/>
        <n v="31.94"/>
        <n v="6.42"/>
        <n v="35.479999999999997"/>
        <n v="12.21"/>
        <n v="9.99"/>
        <n v="33.61"/>
        <n v="6.4"/>
        <n v="23.36"/>
        <n v="27.5"/>
        <n v="29.37"/>
        <n v="18.48"/>
        <n v="32.69"/>
        <n v="12.76"/>
        <n v="18.57"/>
        <n v="7.16"/>
        <n v="8.23"/>
        <n v="34.130000000000003"/>
        <n v="21.36"/>
        <n v="26.48"/>
        <n v="15.04"/>
        <n v="21.87"/>
        <n v="10.210000000000001"/>
        <n v="7.43"/>
        <n v="27.94"/>
        <n v="10.18"/>
        <n v="27.24"/>
        <n v="8.85"/>
        <n v="25.86"/>
        <n v="6.88"/>
        <n v="19"/>
        <n v="8.49"/>
        <n v="35.69"/>
        <n v="8.58"/>
        <n v="21.29"/>
        <n v="35.86"/>
        <n v="36.82"/>
        <n v="38.74"/>
        <n v="10.78"/>
        <n v="10.85"/>
        <n v="24.48"/>
        <n v="25.29"/>
        <n v="26.74"/>
        <n v="11.56"/>
        <n v="36.76"/>
        <n v="35.229999999999997"/>
        <n v="31.29"/>
        <n v="31.01"/>
        <n v="33.9"/>
        <n v="28.14"/>
        <n v="26.2"/>
        <n v="23.47"/>
        <n v="30.89"/>
        <n v="9.57"/>
        <n v="24.86"/>
        <n v="36.729999999999997"/>
        <n v="31.16"/>
        <n v="21.3"/>
        <n v="12.08"/>
        <n v="22.1"/>
        <n v="28.33"/>
        <n v="23.53"/>
        <n v="22.3"/>
        <n v="15.16"/>
        <n v="32.5"/>
        <n v="34.97"/>
        <n v="20.57"/>
        <n v="39.340000000000003"/>
        <n v="24.3"/>
        <n v="30.64"/>
        <n v="31.98"/>
        <n v="14.4"/>
        <n v="17.38"/>
        <n v="32.01"/>
        <n v="32"/>
        <n v="23.2"/>
        <n v="29.95"/>
        <n v="15.11"/>
        <n v="30.92"/>
        <n v="19.100000000000001"/>
        <n v="20.12"/>
        <n v="31.45"/>
        <n v="37.39"/>
        <n v="21.41"/>
        <n v="6.47"/>
        <n v="11.54"/>
        <n v="35.04"/>
        <n v="11.4"/>
        <n v="38.21"/>
        <n v="11.11"/>
        <n v="19.559999999999999"/>
        <n v="20.170000000000002"/>
        <n v="22.97"/>
        <n v="7.77"/>
        <n v="21.95"/>
        <n v="5.64"/>
        <n v="18.45"/>
        <n v="25.43"/>
        <n v="30.34"/>
        <n v="11.99"/>
        <n v="11.02"/>
        <n v="26.99"/>
        <n v="38.89"/>
        <n v="6.99"/>
        <n v="18.690000000000001"/>
        <n v="28.31"/>
        <n v="11.86"/>
        <n v="33.82"/>
        <n v="7.34"/>
        <n v="24.14"/>
        <n v="39.5"/>
        <n v="18.72"/>
        <n v="22.04"/>
        <n v="16.739999999999998"/>
        <n v="12.88"/>
        <n v="15.37"/>
        <n v="11.12"/>
        <n v="17.8"/>
        <n v="21.82"/>
        <n v="24.07"/>
        <n v="7.48"/>
        <n v="6.61"/>
        <n v="36.94"/>
        <n v="19.98"/>
        <n v="34.450000000000003"/>
        <n v="19.55"/>
        <n v="28.66"/>
        <n v="37.69"/>
        <n v="11.59"/>
        <n v="35.21"/>
        <n v="24.02"/>
        <n v="21.54"/>
        <n v="12.81"/>
        <n v="15.31"/>
        <n v="14.16"/>
        <n v="7.98"/>
        <n v="32.17"/>
        <n v="18.309999999999999"/>
        <n v="24.59"/>
        <n v="26.78"/>
        <n v="27.02"/>
        <n v="39.549999999999997"/>
        <n v="10.68"/>
        <n v="33.47"/>
        <n v="38.630000000000003"/>
        <n v="7.44"/>
        <n v="17.12"/>
        <n v="7.38"/>
        <n v="12.47"/>
        <n v="29.85"/>
        <n v="16.21"/>
        <n v="22.01"/>
        <n v="23.86"/>
        <n v="25.04"/>
        <n v="31.32"/>
        <n v="31.04"/>
        <n v="15.92"/>
        <n v="13.89"/>
        <n v="7.68"/>
        <n v="18.12"/>
        <n v="31.02"/>
        <n v="17.5"/>
        <n v="37.49"/>
        <n v="5.36"/>
        <n v="12.17"/>
        <n v="37.47"/>
        <n v="27.59"/>
        <n v="5.82"/>
        <n v="26.88"/>
        <n v="35.33"/>
        <n v="38.299999999999997"/>
        <n v="16.11"/>
        <n v="16.54"/>
        <n v="22.41"/>
        <n v="15.34"/>
        <n v="35.61"/>
        <n v="12.09"/>
        <n v="12.46"/>
        <n v="12.57"/>
        <n v="35.369999999999997"/>
        <n v="25.5"/>
        <n v="18.079999999999998"/>
        <n v="12.27"/>
        <n v="14.14"/>
        <n v="8.61"/>
        <n v="20.18"/>
        <n v="37.36"/>
        <n v="13.07"/>
        <n v="33.729999999999997"/>
        <n v="31.37"/>
        <n v="21.73"/>
        <n v="37.94"/>
        <n v="28.54"/>
        <n v="30.32"/>
        <n v="34.35"/>
        <n v="9.3800000000000008"/>
        <n v="35.159999999999997"/>
        <n v="36.24"/>
        <n v="8.0399999999999991"/>
        <n v="32.450000000000003"/>
        <n v="21.35"/>
        <n v="21.8"/>
        <n v="5.58"/>
        <n v="22.55"/>
        <n v="32.54"/>
        <n v="15.24"/>
        <n v="21.63"/>
        <n v="19.350000000000001"/>
        <n v="39.869999999999997"/>
        <n v="30.7"/>
        <n v="17.760000000000002"/>
        <n v="30.29"/>
        <n v="36.340000000000003"/>
        <n v="16.37"/>
        <n v="37.56"/>
        <n v="9.66"/>
        <n v="27.47"/>
        <n v="32.56"/>
        <n v="11.28"/>
        <n v="17.39"/>
        <n v="24.82"/>
        <n v="7.53"/>
        <n v="7.13"/>
        <n v="39.369999999999997"/>
        <n v="6.09"/>
        <n v="32.61"/>
        <n v="23.61"/>
        <n v="36"/>
        <n v="18.14"/>
        <n v="29.43"/>
        <n v="24.67"/>
        <n v="17.87"/>
        <n v="10.86"/>
        <n v="30.38"/>
        <n v="14.96"/>
        <n v="18.579999999999998"/>
        <n v="26.43"/>
        <n v="28.89"/>
        <n v="21.26"/>
        <n v="32.07"/>
        <n v="21.98"/>
        <n v="28.4"/>
        <n v="36.58"/>
        <n v="16.27"/>
        <n v="6.15"/>
        <n v="25.87"/>
        <n v="39.26"/>
        <n v="23.96"/>
        <n v="35.14"/>
        <n v="32.21"/>
        <n v="30.58"/>
        <n v="39.33"/>
        <n v="22.32"/>
        <n v="31.9"/>
        <n v="34.479999999999997"/>
        <n v="34.06"/>
        <n v="21.89"/>
        <n v="25.06"/>
        <n v="30.51"/>
        <n v="33.200000000000003"/>
        <n v="34.9"/>
        <n v="10.02"/>
        <n v="5.73"/>
        <n v="11.9"/>
        <n v="24.28"/>
        <n v="38.880000000000003"/>
        <n v="20.03"/>
        <n v="36.39"/>
        <n v="8.52"/>
        <n v="22.6"/>
        <n v="20.71"/>
        <n v="6.39"/>
        <n v="29.41"/>
        <n v="39.979999999999997"/>
        <n v="32.85"/>
        <n v="24.61"/>
        <n v="13.28"/>
        <n v="9.15"/>
        <n v="13.17"/>
        <n v="19.57"/>
        <n v="23.66"/>
        <n v="36.409999999999997"/>
        <n v="11.35"/>
        <n v="36.46"/>
        <n v="13.58"/>
        <n v="26.18"/>
        <n v="11.58"/>
        <n v="33.83"/>
        <n v="32.94"/>
        <n v="5.62"/>
        <n v="6.73"/>
        <n v="34.44"/>
        <n v="23.1"/>
        <n v="11.79"/>
        <n v="37.14"/>
        <n v="15.76"/>
        <n v="6.67"/>
        <n v="37.79"/>
        <n v="29.36"/>
        <n v="8.75"/>
        <n v="15.6"/>
        <n v="31.5"/>
        <n v="34.01"/>
        <n v="30.15"/>
        <n v="34.78"/>
        <n v="5.23"/>
        <n v="37.840000000000003"/>
        <n v="19.420000000000002"/>
        <n v="39.520000000000003"/>
        <n v="30.02"/>
        <n v="5.41"/>
        <n v="18.68"/>
        <n v="20.45"/>
        <n v="17.440000000000001"/>
        <n v="23.12"/>
        <n v="26.61"/>
        <n v="21.33"/>
        <n v="17.75"/>
        <n v="28.75"/>
        <n v="37.92"/>
        <n v="37.909999999999997"/>
        <n v="10.96"/>
        <n v="13.21"/>
        <n v="10.11"/>
        <n v="24.79"/>
        <n v="33.19"/>
        <n v="10.62"/>
        <n v="21.32"/>
        <n v="7.25"/>
        <n v="29.93"/>
        <n v="14.23"/>
        <n v="14.73"/>
        <n v="34.520000000000003"/>
        <n v="18.899999999999999"/>
        <n v="10.73"/>
        <n v="35.44"/>
        <n v="22.45"/>
        <n v="36.97"/>
        <n v="34.26"/>
        <n v="31.58"/>
        <n v="14.42"/>
        <n v="7.46"/>
        <n v="31.14"/>
        <n v="24.33"/>
        <n v="16.5"/>
        <n v="33.92"/>
        <n v="39.56"/>
        <n v="19.48"/>
        <n v="8.14"/>
        <n v="35.03"/>
        <n v="26.44"/>
        <n v="24.83"/>
        <n v="38.76"/>
        <n v="12.26"/>
        <n v="23.35"/>
        <n v="38.42"/>
        <n v="10.82"/>
        <n v="9.32"/>
        <n v="31.44"/>
        <n v="22.93"/>
        <n v="39.92"/>
        <n v="14.6"/>
        <n v="25.42"/>
        <n v="20.92"/>
        <n v="9.5399999999999991"/>
        <n v="9.42"/>
        <n v="37.65"/>
        <n v="7.7"/>
        <n v="39.21"/>
        <n v="27.69"/>
        <n v="37.549999999999997"/>
        <n v="12.58"/>
        <n v="27.12"/>
        <n v="34.619999999999997"/>
        <n v="5.0999999999999996"/>
        <n v="8.1"/>
        <n v="8"/>
        <n v="30.98"/>
        <n v="33.700000000000003"/>
        <n v="9.4"/>
        <n v="7.79"/>
        <n v="24.43"/>
        <n v="22.47"/>
        <n v="21.18"/>
        <n v="39.75"/>
        <n v="16.71"/>
        <n v="8.9499999999999993"/>
        <n v="13.16"/>
        <n v="23.78"/>
        <n v="22.53"/>
        <n v="19.12"/>
        <n v="38.31"/>
        <n v="24.05"/>
        <n v="35.64"/>
        <n v="5.42"/>
        <n v="25.05"/>
        <n v="35.659999999999997"/>
        <n v="33.479999999999997"/>
        <n v="36.92"/>
        <n v="18.399999999999999"/>
        <n v="14.79"/>
        <n v="31.48"/>
        <n v="7.5"/>
        <n v="33.090000000000003"/>
        <n v="9.7899999999999991"/>
        <n v="31.51"/>
        <n v="38.07"/>
        <n v="29.92"/>
        <n v="13.93"/>
        <n v="25.75"/>
        <n v="21.51"/>
        <n v="25.39"/>
        <n v="10.63"/>
        <n v="31.1"/>
        <n v="13.38"/>
        <n v="16.04"/>
        <n v="5.78"/>
        <n v="30.62"/>
        <n v="14.1"/>
        <n v="22.22"/>
        <n v="12.45"/>
        <n v="27.04"/>
        <n v="35.32"/>
        <n v="26.17"/>
        <n v="22.17"/>
        <n v="38.6"/>
        <n v="28.8"/>
        <n v="28.25"/>
        <n v="8.41"/>
        <n v="16.489999999999998"/>
        <n v="39.83"/>
        <n v="34.53"/>
        <n v="18.809999999999999"/>
        <n v="22.85"/>
        <n v="32.32"/>
        <n v="17.059999999999999"/>
        <n v="6.54"/>
        <n v="12.03"/>
        <n v="26.31"/>
        <n v="8.74"/>
        <n v="31.24"/>
        <n v="23.03"/>
        <n v="36.020000000000003"/>
        <n v="23.32"/>
        <n v="15.25"/>
        <n v="5.1100000000000003"/>
        <n v="32.19"/>
        <n v="17.73"/>
        <n v="27.13"/>
        <n v="17.59"/>
        <n v="25.76"/>
        <n v="37.340000000000003"/>
        <n v="14.85"/>
        <n v="11.64"/>
        <n v="30.75"/>
        <n v="5.7"/>
        <n v="35.06"/>
        <n v="20.04"/>
        <n v="13.92"/>
        <n v="6.07"/>
        <n v="28"/>
        <n v="13.39"/>
        <n v="15.73"/>
        <n v="35.450000000000003"/>
        <n v="35.76"/>
        <n v="18.79"/>
        <n v="13.6"/>
        <n v="14.44"/>
        <n v="24.77"/>
        <n v="16.670000000000002"/>
        <n v="37.450000000000003"/>
        <n v="21.64"/>
        <n v="27.72"/>
        <n v="22.11"/>
        <n v="22.06"/>
        <n v="26.35"/>
        <n v="7.39"/>
        <n v="27.68"/>
        <n v="15.14"/>
        <n v="30.08"/>
        <n v="28.56"/>
        <n v="31.56"/>
        <n v="34.340000000000003"/>
        <n v="15.43"/>
        <n v="22.38"/>
        <n v="32.65"/>
        <n v="5.57"/>
        <n v="28.48"/>
        <n v="17.29"/>
        <n v="16.8"/>
        <n v="12.3"/>
        <n v="35.56"/>
        <n v="16.170000000000002"/>
        <n v="39.729999999999997"/>
        <n v="21.49"/>
        <n v="38.06"/>
        <n v="27.03"/>
        <n v="10.01"/>
        <n v="14.17"/>
        <n v="7.28"/>
        <n v="39.49"/>
        <n v="37.97"/>
        <n v="21.99"/>
        <n v="13.95"/>
        <n v="32.42"/>
        <n v="38.200000000000003"/>
        <n v="21.56"/>
        <n v="11.13"/>
        <n v="31.82"/>
        <n v="19.829999999999998"/>
        <n v="14.65"/>
        <n v="22.71"/>
        <n v="17.489999999999998"/>
        <n v="16.149999999999999"/>
        <n v="33.08"/>
        <n v="6.36"/>
        <n v="38.229999999999997"/>
        <n v="9.17"/>
        <n v="7.42"/>
        <n v="14.02"/>
        <n v="22.07"/>
        <n v="17.62"/>
        <n v="29.8"/>
        <n v="29.05"/>
        <n v="37.07"/>
        <n v="39.89"/>
        <n v="12.72"/>
        <n v="7.29"/>
        <n v="5.12"/>
        <n v="8.31"/>
        <n v="37.96"/>
        <n v="11.07"/>
        <n v="32.76"/>
        <n v="13.67"/>
        <n v="17.850000000000001"/>
        <n v="9.1199999999999992"/>
        <n v="22.69"/>
        <n v="18.27"/>
        <n v="6.6"/>
        <n v="23.43"/>
        <n v="30.54"/>
        <n v="38.93"/>
        <n v="28.44"/>
        <n v="5.19"/>
        <n v="28.45"/>
        <n v="8.8800000000000008"/>
        <n v="25.49"/>
        <n v="19.73"/>
        <n v="17.510000000000002"/>
        <n v="26.21"/>
        <n v="14.2"/>
        <n v="9.1999999999999993"/>
        <n v="33.770000000000003"/>
        <n v="32.35"/>
        <n v="18.829999999999998"/>
        <n v="19.96"/>
        <n v="37.020000000000003"/>
        <n v="7.23"/>
        <n v="33.96"/>
        <n v="38.119999999999997"/>
        <n v="25.36"/>
        <n v="5.33"/>
        <n v="27.35"/>
        <n v="25.74"/>
        <n v="31.53"/>
        <n v="35.380000000000003"/>
        <n v="15.66"/>
        <n v="35.1"/>
        <n v="33.18"/>
        <n v="18.84"/>
        <n v="27.09"/>
        <n v="7.91"/>
        <n v="17"/>
        <n v="33.840000000000003"/>
        <n v="6.01"/>
        <n v="20.68"/>
        <n v="14.81"/>
        <n v="17.649999999999999"/>
        <n v="14.63"/>
        <n v="8.1300000000000008"/>
        <n v="33.03"/>
        <n v="34.64"/>
        <n v="26.05"/>
        <n v="29.76"/>
        <n v="7.27"/>
        <n v="35.92"/>
        <n v="20.6"/>
        <n v="13.42"/>
        <n v="26.69"/>
        <n v="15.58"/>
        <n v="8.6300000000000008"/>
        <n v="33.15"/>
        <n v="13.47"/>
        <n v="35.81"/>
        <n v="11.69"/>
        <n v="36.07"/>
        <n v="39.46"/>
        <n v="19.309999999999999"/>
        <n v="20.74"/>
        <n v="19.27"/>
        <n v="28.94"/>
        <n v="15.65"/>
        <n v="12.86"/>
        <n v="32.24"/>
        <n v="8.19"/>
        <n v="23.17"/>
        <n v="24.5"/>
        <n v="20.190000000000001"/>
        <n v="30.27"/>
        <n v="27.22"/>
        <n v="28.78"/>
        <n v="11.24"/>
        <n v="31.71"/>
        <n v="17.399999999999999"/>
        <n v="24.95"/>
        <n v="23.92"/>
        <n v="14.64"/>
        <n v="33.369999999999997"/>
        <n v="20.32"/>
        <n v="21.84"/>
        <n v="12.38"/>
        <n v="5.86"/>
        <n v="16.690000000000001"/>
        <n v="27.46"/>
        <n v="28.64"/>
        <n v="22.23"/>
        <n v="25.91"/>
        <n v="5.0199999999999996"/>
        <n v="25.81"/>
        <n v="35.9"/>
        <n v="7.4"/>
        <n v="33.380000000000003"/>
        <n v="38.770000000000003"/>
        <n v="36.64"/>
        <n v="22.64"/>
        <n v="6.45"/>
        <n v="13.08"/>
        <n v="35.17"/>
        <n v="35.58"/>
        <n v="16.809999999999999"/>
        <n v="13.84"/>
        <n v="31.92"/>
        <n v="35.39"/>
        <n v="8.6999999999999993"/>
        <n v="18.91"/>
        <n v="19.670000000000002"/>
        <n v="13.61"/>
        <n v="26.47"/>
        <n v="15.38"/>
        <n v="30.91"/>
        <n v="16.03"/>
        <n v="17.79"/>
        <n v="21.71"/>
        <n v="38.33"/>
        <n v="6.59"/>
        <n v="33.630000000000003"/>
        <n v="28.9"/>
        <n v="38.17"/>
        <n v="32.18"/>
        <n v="18.3"/>
        <n v="36.29"/>
        <n v="38.03"/>
        <n v="13.48"/>
        <n v="21.9"/>
        <n v="23.08"/>
        <n v="31.22"/>
        <n v="31.23"/>
        <n v="13.53"/>
        <n v="9.9"/>
        <n v="28.23"/>
        <n v="20.43"/>
        <n v="37.44"/>
        <n v="26.25"/>
        <n v="31.67"/>
        <n v="21.43"/>
        <n v="35.200000000000003"/>
        <n v="17.72"/>
        <n v="32.020000000000003"/>
        <n v="30.77"/>
        <n v="33.869999999999997"/>
        <n v="20.81"/>
        <n v="21.25"/>
        <n v="30.21"/>
        <n v="30.68"/>
        <n v="36.51"/>
        <n v="23.05"/>
        <n v="19.89"/>
        <n v="32.31"/>
        <n v="34.17"/>
        <n v="38.729999999999997"/>
        <n v="20.98"/>
        <n v="23.13"/>
        <n v="13.94"/>
        <n v="8.2799999999999994"/>
        <n v="9.31"/>
        <n v="39.119999999999997"/>
        <n v="34.909999999999997"/>
        <n v="39.14"/>
        <n v="18.760000000000002"/>
        <n v="34.04"/>
        <n v="20"/>
        <n v="27.67"/>
        <n v="26.72"/>
        <n v="32.630000000000003"/>
        <n v="14.08"/>
        <n v="38.68"/>
        <n v="35.99"/>
        <n v="22.56"/>
        <n v="23.71"/>
        <n v="39.01"/>
        <n v="34.99"/>
        <n v="5.76"/>
        <n v="13.82"/>
        <n v="6.46"/>
        <n v="23.3"/>
        <n v="36.53"/>
        <n v="14.01"/>
        <n v="26.8"/>
        <n v="21.92"/>
        <n v="38.01"/>
        <n v="8.42"/>
        <n v="24.2"/>
        <n v="11.45"/>
        <n v="36.5"/>
        <n v="38.799999999999997"/>
        <n v="8.0299999999999994"/>
        <n v="18.53"/>
        <n v="9.64"/>
        <n v="7.36"/>
        <n v="29.34"/>
        <n v="18.64"/>
        <n v="8.99"/>
        <n v="32.119999999999997"/>
        <n v="26.75"/>
        <n v="11.49"/>
        <n v="28.99"/>
        <n v="9.91"/>
        <n v="25.98"/>
        <n v="5.68"/>
        <n v="25.83"/>
        <n v="36.590000000000003"/>
        <n v="37.82"/>
        <n v="10.74"/>
        <n v="24"/>
        <n v="21.19"/>
        <n v="31.85"/>
        <n v="13.68"/>
        <n v="8.6199999999999992"/>
        <n v="26.86"/>
        <n v="31.08"/>
        <n v="14.59"/>
        <n v="20.48"/>
        <n v="15.98"/>
        <n v="36.72"/>
        <n v="19.3"/>
        <n v="32.340000000000003"/>
        <n v="7.24"/>
        <n v="39.29"/>
        <n v="12.96"/>
        <n v="24.72"/>
        <n v="16.43"/>
        <n v="22.82"/>
        <n v="14.69"/>
        <n v="28.2"/>
        <n v="35.89"/>
        <n v="30.65"/>
        <n v="32.79"/>
        <n v="13.25"/>
        <n v="17.149999999999999"/>
        <n v="14.35"/>
        <n v="16.36"/>
        <n v="35.25"/>
        <n v="13.98"/>
        <n v="25.23"/>
        <n v="20.22"/>
        <n v="37.700000000000003"/>
        <n v="8.4"/>
        <n v="37.32"/>
        <n v="28.05"/>
        <n v="25.12"/>
        <n v="11.67"/>
        <n v="9.51"/>
        <n v="31.75"/>
        <n v="10.6"/>
        <n v="35.71"/>
        <n v="35.74"/>
        <n v="30.19"/>
        <n v="14.67"/>
        <n v="22.7"/>
        <n v="33.67"/>
        <n v="32.71"/>
        <n v="16.95"/>
        <n v="33.42"/>
        <n v="12.61"/>
        <n v="13.32"/>
        <n v="7.94"/>
        <n v="12.9"/>
        <n v="36.950000000000003"/>
        <n v="7.58"/>
        <n v="25.2"/>
        <n v="13.27"/>
        <n v="26.46"/>
        <n v="20.9"/>
        <n v="12"/>
        <n v="7.51"/>
        <n v="9.75"/>
        <n v="17.55"/>
        <n v="32.090000000000003"/>
        <n v="30.69"/>
        <n v="38.130000000000003"/>
        <n v="12.94"/>
        <n v="38.71"/>
        <n v="30.36"/>
        <n v="5.46"/>
        <n v="10.9"/>
        <n v="15.45"/>
        <n v="24.88"/>
        <n v="29.01"/>
      </sharedItems>
    </cacheField>
    <cacheField name="Quantity" numFmtId="0">
      <sharedItems containsSemiMixedTypes="0" containsString="0" containsNumber="1" containsInteger="1" minValue="1" maxValue="5"/>
    </cacheField>
    <cacheField name="Total Orders" numFmtId="0">
      <sharedItems containsSemiMixedTypes="0" containsString="0" containsNumber="1" containsInteger="1" minValue="1" maxValue="20"/>
    </cacheField>
    <cacheField name="Total  Sales" numFmtId="0">
      <sharedItems containsSemiMixedTypes="0" containsString="0" containsNumber="1" minValue="6.45" maxValue="3672.9999999999995"/>
    </cacheField>
    <cacheField name="Discount" numFmtId="0">
      <sharedItems containsSemiMixedTypes="0" containsString="0" containsNumber="1" minValue="0" maxValue="10"/>
    </cacheField>
    <cacheField name="Profit" numFmtId="0">
      <sharedItems containsSemiMixedTypes="0" containsString="0" containsNumber="1" minValue="4.6500000000000004" maxValue="3664.9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5928.587779629626" createdVersion="5" refreshedVersion="5" minRefreshableVersion="3" recordCount="1001">
  <cacheSource type="worksheet">
    <worksheetSource ref="F1:F1048576" sheet="Sheet3"/>
  </cacheSource>
  <cacheFields count="1">
    <cacheField name="Country" numFmtId="0">
      <sharedItems containsBlank="1" count="11">
        <s v="South Africa"/>
        <s v="New Zealand"/>
        <s v="Indonesia"/>
        <s v="Singapore"/>
        <s v="India"/>
        <s v="Philippines"/>
        <s v="Australia"/>
        <s v="Canada"/>
        <s v="Qatar"/>
        <s v="Brazil"/>
        <m/>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5928.587780208334" createdVersion="5" refreshedVersion="5" minRefreshableVersion="3" recordCount="1000">
  <cacheSource type="worksheet">
    <worksheetSource name="Table2"/>
  </cacheSource>
  <cacheFields count="18">
    <cacheField name="OrderID" numFmtId="0">
      <sharedItems/>
    </cacheField>
    <cacheField name="Column1" numFmtId="0">
      <sharedItems containsNonDate="0" containsString="0" containsBlank="1"/>
    </cacheField>
    <cacheField name="Column2" numFmtId="0">
      <sharedItems containsNonDate="0" containsString="0" containsBlank="1"/>
    </cacheField>
    <cacheField name="CustomerID" numFmtId="0">
      <sharedItems/>
    </cacheField>
    <cacheField name="Customer Name" numFmtId="0">
      <sharedItems/>
    </cacheField>
    <cacheField name="Country" numFmtId="0">
      <sharedItems/>
    </cacheField>
    <cacheField name="City" numFmtId="0">
      <sharedItems/>
    </cacheField>
    <cacheField name="Cuisine" numFmtId="0">
      <sharedItems/>
    </cacheField>
    <cacheField name="Food Name" numFmtId="0">
      <sharedItems/>
    </cacheField>
    <cacheField name="Votes" numFmtId="0">
      <sharedItems containsSemiMixedTypes="0" containsString="0" containsNumber="1" containsInteger="1" minValue="52" maxValue="4996"/>
    </cacheField>
    <cacheField name="Average Cost for Two (USD)" numFmtId="0">
      <sharedItems containsSemiMixedTypes="0" containsString="0" containsNumber="1" minValue="5.03" maxValue="49.96"/>
    </cacheField>
    <cacheField name="Rating" numFmtId="0">
      <sharedItems containsSemiMixedTypes="0" containsString="0" containsNumber="1" minValue="1" maxValue="5"/>
    </cacheField>
    <cacheField name="Price" numFmtId="0">
      <sharedItems containsSemiMixedTypes="0" containsString="0" containsNumber="1" minValue="5.0199999999999996" maxValue="39.979999999999997"/>
    </cacheField>
    <cacheField name="Quantity" numFmtId="0">
      <sharedItems containsSemiMixedTypes="0" containsString="0" containsNumber="1" containsInteger="1" minValue="1" maxValue="5"/>
    </cacheField>
    <cacheField name="Total Orders" numFmtId="0">
      <sharedItems containsSemiMixedTypes="0" containsString="0" containsNumber="1" containsInteger="1" minValue="1" maxValue="20"/>
    </cacheField>
    <cacheField name="Total  Sales" numFmtId="0">
      <sharedItems containsSemiMixedTypes="0" containsString="0" containsNumber="1" minValue="6.45" maxValue="3672.9999999999995"/>
    </cacheField>
    <cacheField name="Discount" numFmtId="0">
      <sharedItems containsSemiMixedTypes="0" containsString="0" containsNumber="1" minValue="0" maxValue="10"/>
    </cacheField>
    <cacheField name="Profit" numFmtId="0">
      <sharedItems containsSemiMixedTypes="0" containsString="0" containsNumber="1" minValue="4.6500000000000004" maxValue="3664.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s v="F6D20003"/>
    <x v="0"/>
    <x v="0"/>
    <s v="CUST9554"/>
    <s v="Sophia Brown"/>
    <s v="Indonesia"/>
    <x v="0"/>
    <x v="0"/>
    <x v="0"/>
    <n v="4400"/>
    <n v="5.03"/>
    <n v="4"/>
    <x v="0"/>
    <n v="2"/>
    <n v="12"/>
    <n v="217.20000000000002"/>
    <n v="4.8099999999999996"/>
    <n v="212.39"/>
  </r>
  <r>
    <s v="223B5568"/>
    <x v="1"/>
    <x v="1"/>
    <s v="CUST4637"/>
    <s v="John Smith"/>
    <s v="New Zealand"/>
    <x v="1"/>
    <x v="1"/>
    <x v="1"/>
    <n v="4654"/>
    <n v="49.92"/>
    <n v="5"/>
    <x v="1"/>
    <n v="1"/>
    <n v="18"/>
    <n v="225.18"/>
    <n v="3.3"/>
    <n v="221.88"/>
  </r>
  <r>
    <s v="A51DB226"/>
    <x v="2"/>
    <x v="2"/>
    <s v="CUST9860"/>
    <s v="Anita Taylor"/>
    <s v="South Africa"/>
    <x v="2"/>
    <x v="2"/>
    <x v="2"/>
    <n v="3207"/>
    <n v="33.35"/>
    <n v="4"/>
    <x v="2"/>
    <n v="1"/>
    <n v="10"/>
    <n v="129.70000000000002"/>
    <n v="6.7"/>
    <n v="123"/>
  </r>
  <r>
    <s v="DB6D9163"/>
    <x v="3"/>
    <x v="3"/>
    <s v="CUST9498"/>
    <s v="David Sharma"/>
    <s v="Australia"/>
    <x v="1"/>
    <x v="3"/>
    <x v="3"/>
    <n v="3216"/>
    <n v="44.75"/>
    <n v="3.2"/>
    <x v="3"/>
    <n v="2"/>
    <n v="6"/>
    <n v="433.56000000000006"/>
    <n v="7.78"/>
    <n v="425.78"/>
  </r>
  <r>
    <s v="C50BF002"/>
    <x v="4"/>
    <x v="0"/>
    <s v="CUST4057"/>
    <s v="Sara Sharma"/>
    <s v="New Zealand"/>
    <x v="1"/>
    <x v="0"/>
    <x v="4"/>
    <n v="3774"/>
    <n v="25.23"/>
    <n v="1.5"/>
    <x v="4"/>
    <n v="4"/>
    <n v="11"/>
    <n v="1144.44"/>
    <n v="0.33"/>
    <n v="1144.1099999999999"/>
  </r>
  <r>
    <s v="EFCA3003"/>
    <x v="5"/>
    <x v="4"/>
    <s v="CUST8717"/>
    <s v="Sara Das"/>
    <s v="South Africa"/>
    <x v="3"/>
    <x v="0"/>
    <x v="5"/>
    <n v="1883"/>
    <n v="40.75"/>
    <n v="1.5"/>
    <x v="5"/>
    <n v="5"/>
    <n v="5"/>
    <n v="133.75"/>
    <n v="4.87"/>
    <n v="128.88"/>
  </r>
  <r>
    <s v="289602A8"/>
    <x v="6"/>
    <x v="5"/>
    <s v="CUST4121"/>
    <s v="Sara Smith"/>
    <s v="New Zealand"/>
    <x v="4"/>
    <x v="4"/>
    <x v="6"/>
    <n v="3277"/>
    <n v="32.35"/>
    <n v="1.8"/>
    <x v="6"/>
    <n v="5"/>
    <n v="5"/>
    <n v="424.00000000000006"/>
    <n v="7.12"/>
    <n v="416.88"/>
  </r>
  <r>
    <s v="ADCCD0DD"/>
    <x v="7"/>
    <x v="0"/>
    <s v="CUST3340"/>
    <s v="David Brown"/>
    <s v="Canada"/>
    <x v="2"/>
    <x v="4"/>
    <x v="7"/>
    <n v="3900"/>
    <n v="6.42"/>
    <n v="4.3"/>
    <x v="7"/>
    <n v="3"/>
    <n v="2"/>
    <n v="44.46"/>
    <n v="2.87"/>
    <n v="41.59"/>
  </r>
  <r>
    <s v="0205AF71"/>
    <x v="8"/>
    <x v="1"/>
    <s v="CUST6580"/>
    <s v="Emily Garcia"/>
    <s v="Canada"/>
    <x v="5"/>
    <x v="2"/>
    <x v="8"/>
    <n v="1767"/>
    <n v="20.12"/>
    <n v="3.6"/>
    <x v="8"/>
    <n v="2"/>
    <n v="8"/>
    <n v="168"/>
    <n v="2.4300000000000002"/>
    <n v="165.57"/>
  </r>
  <r>
    <s v="4A718822"/>
    <x v="9"/>
    <x v="1"/>
    <s v="CUST5985"/>
    <s v="Sophia Brown"/>
    <s v="South Africa"/>
    <x v="0"/>
    <x v="3"/>
    <x v="0"/>
    <n v="1802"/>
    <n v="8.58"/>
    <n v="2.6"/>
    <x v="9"/>
    <n v="3"/>
    <n v="15"/>
    <n v="864.9"/>
    <n v="6.8"/>
    <n v="858.1"/>
  </r>
  <r>
    <s v="4FE5EBE3"/>
    <x v="10"/>
    <x v="3"/>
    <s v="CUST4230"/>
    <s v="Ahmed Das"/>
    <s v="New Zealand"/>
    <x v="3"/>
    <x v="1"/>
    <x v="2"/>
    <n v="2833"/>
    <n v="7.88"/>
    <n v="4.7"/>
    <x v="10"/>
    <n v="4"/>
    <n v="5"/>
    <n v="213.2"/>
    <n v="4.58"/>
    <n v="208.62"/>
  </r>
  <r>
    <s v="8F72FD3A"/>
    <x v="11"/>
    <x v="6"/>
    <s v="CUST3216"/>
    <s v="Anita Patel"/>
    <s v="Indonesia"/>
    <x v="6"/>
    <x v="0"/>
    <x v="3"/>
    <n v="4228"/>
    <n v="40.119999999999997"/>
    <n v="4.5"/>
    <x v="11"/>
    <n v="2"/>
    <n v="17"/>
    <n v="729.64"/>
    <n v="1.08"/>
    <n v="728.56"/>
  </r>
  <r>
    <s v="0CB97203"/>
    <x v="12"/>
    <x v="5"/>
    <s v="CUST6179"/>
    <s v="Anita Singh"/>
    <s v="South Africa"/>
    <x v="7"/>
    <x v="4"/>
    <x v="9"/>
    <n v="2322"/>
    <n v="10.23"/>
    <n v="2.2000000000000002"/>
    <x v="12"/>
    <n v="1"/>
    <n v="19"/>
    <n v="520.03"/>
    <n v="7.0000000000000007E-2"/>
    <n v="519.96"/>
  </r>
  <r>
    <s v="31079BB9"/>
    <x v="13"/>
    <x v="6"/>
    <s v="CUST5642"/>
    <s v="Sophia Patel"/>
    <s v="New Zealand"/>
    <x v="8"/>
    <x v="4"/>
    <x v="0"/>
    <n v="199"/>
    <n v="8.9600000000000009"/>
    <n v="2"/>
    <x v="13"/>
    <n v="2"/>
    <n v="1"/>
    <n v="79.02"/>
    <n v="7.1"/>
    <n v="71.92"/>
  </r>
  <r>
    <s v="CF82A0F2"/>
    <x v="14"/>
    <x v="5"/>
    <s v="CUST4684"/>
    <s v="John Sharma"/>
    <s v="Qatar"/>
    <x v="8"/>
    <x v="2"/>
    <x v="8"/>
    <n v="4803"/>
    <n v="24.84"/>
    <n v="3.5"/>
    <x v="14"/>
    <n v="1"/>
    <n v="8"/>
    <n v="153.84"/>
    <n v="9.7100000000000009"/>
    <n v="144.13"/>
  </r>
  <r>
    <s v="F41E7ED9"/>
    <x v="15"/>
    <x v="6"/>
    <s v="CUST4171"/>
    <s v="Sophia Garcia"/>
    <s v="Philippines"/>
    <x v="2"/>
    <x v="3"/>
    <x v="0"/>
    <n v="3288"/>
    <n v="15.99"/>
    <n v="2"/>
    <x v="15"/>
    <n v="3"/>
    <n v="13"/>
    <n v="763.61999999999989"/>
    <n v="6"/>
    <n v="757.62"/>
  </r>
  <r>
    <s v="158D5E48"/>
    <x v="16"/>
    <x v="7"/>
    <s v="CUST7506"/>
    <s v="Priya Brown"/>
    <s v="Brazil"/>
    <x v="6"/>
    <x v="2"/>
    <x v="7"/>
    <n v="1269"/>
    <n v="33.78"/>
    <n v="4.9000000000000004"/>
    <x v="16"/>
    <n v="1"/>
    <n v="14"/>
    <n v="372.82"/>
    <n v="3.93"/>
    <n v="368.89"/>
  </r>
  <r>
    <s v="96C84CD7"/>
    <x v="17"/>
    <x v="2"/>
    <s v="CUST3213"/>
    <s v="Ahmed Das"/>
    <s v="Australia"/>
    <x v="7"/>
    <x v="1"/>
    <x v="10"/>
    <n v="4225"/>
    <n v="5.4"/>
    <n v="3.3"/>
    <x v="17"/>
    <n v="5"/>
    <n v="3"/>
    <n v="268.8"/>
    <n v="9.9"/>
    <n v="258.89999999999998"/>
  </r>
  <r>
    <s v="EA6D79CB"/>
    <x v="18"/>
    <x v="2"/>
    <s v="CUST6471"/>
    <s v="Sara Patel"/>
    <s v="Indonesia"/>
    <x v="0"/>
    <x v="3"/>
    <x v="3"/>
    <n v="553"/>
    <n v="29.4"/>
    <n v="2"/>
    <x v="18"/>
    <n v="4"/>
    <n v="4"/>
    <n v="281.76"/>
    <n v="9.67"/>
    <n v="272.08999999999997"/>
  </r>
  <r>
    <s v="8DEAF553"/>
    <x v="19"/>
    <x v="4"/>
    <s v="CUST7482"/>
    <s v="Sophia Smith"/>
    <s v="Philippines"/>
    <x v="0"/>
    <x v="1"/>
    <x v="1"/>
    <n v="3215"/>
    <n v="14.82"/>
    <n v="2.2999999999999998"/>
    <x v="19"/>
    <n v="5"/>
    <n v="7"/>
    <n v="1046.8500000000001"/>
    <n v="7.84"/>
    <n v="1039.01"/>
  </r>
  <r>
    <s v="96E770D5"/>
    <x v="20"/>
    <x v="2"/>
    <s v="CUST3290"/>
    <s v="Sophia Singh"/>
    <s v="New Zealand"/>
    <x v="2"/>
    <x v="2"/>
    <x v="11"/>
    <n v="2258"/>
    <n v="21.12"/>
    <n v="3"/>
    <x v="20"/>
    <n v="1"/>
    <n v="19"/>
    <n v="375.82000000000005"/>
    <n v="7.37"/>
    <n v="368.45"/>
  </r>
  <r>
    <s v="A28290D3"/>
    <x v="21"/>
    <x v="4"/>
    <s v="CUST5822"/>
    <s v="Sophia Smith"/>
    <s v="Canada"/>
    <x v="7"/>
    <x v="2"/>
    <x v="1"/>
    <n v="2534"/>
    <n v="17.649999999999999"/>
    <n v="4.9000000000000004"/>
    <x v="21"/>
    <n v="1"/>
    <n v="5"/>
    <n v="178"/>
    <n v="8.5500000000000007"/>
    <n v="169.45"/>
  </r>
  <r>
    <s v="2F06273B"/>
    <x v="22"/>
    <x v="2"/>
    <s v="CUST7691"/>
    <s v="Emily Das"/>
    <s v="Indonesia"/>
    <x v="6"/>
    <x v="0"/>
    <x v="12"/>
    <n v="1862"/>
    <n v="17.670000000000002"/>
    <n v="3.8"/>
    <x v="22"/>
    <n v="3"/>
    <n v="16"/>
    <n v="1272.96"/>
    <n v="0.01"/>
    <n v="1272.95"/>
  </r>
  <r>
    <s v="2862D67F"/>
    <x v="23"/>
    <x v="2"/>
    <s v="CUST5304"/>
    <s v="Emily Singh"/>
    <s v="South Africa"/>
    <x v="8"/>
    <x v="1"/>
    <x v="4"/>
    <n v="2819"/>
    <n v="29.15"/>
    <n v="2.2000000000000002"/>
    <x v="23"/>
    <n v="2"/>
    <n v="9"/>
    <n v="391.32"/>
    <n v="7.84"/>
    <n v="383.48"/>
  </r>
  <r>
    <s v="90F48250"/>
    <x v="24"/>
    <x v="5"/>
    <s v="CUST6784"/>
    <s v="Sophia Khan"/>
    <s v="Canada"/>
    <x v="4"/>
    <x v="4"/>
    <x v="5"/>
    <n v="2271"/>
    <n v="20.420000000000002"/>
    <n v="4.8"/>
    <x v="24"/>
    <n v="2"/>
    <n v="17"/>
    <n v="177.14"/>
    <n v="3.23"/>
    <n v="173.91"/>
  </r>
  <r>
    <s v="A8440072"/>
    <x v="25"/>
    <x v="6"/>
    <s v="CUST1280"/>
    <s v="Sara Singh"/>
    <s v="India"/>
    <x v="3"/>
    <x v="4"/>
    <x v="9"/>
    <n v="162"/>
    <n v="34.78"/>
    <n v="4.0999999999999996"/>
    <x v="25"/>
    <n v="5"/>
    <n v="7"/>
    <n v="770.69999999999993"/>
    <n v="8.0299999999999994"/>
    <n v="762.67"/>
  </r>
  <r>
    <s v="A78AF23A"/>
    <x v="26"/>
    <x v="3"/>
    <s v="CUST5685"/>
    <s v="Anita Garcia"/>
    <s v="New Zealand"/>
    <x v="8"/>
    <x v="4"/>
    <x v="12"/>
    <n v="4387"/>
    <n v="33.700000000000003"/>
    <n v="1.9"/>
    <x v="5"/>
    <n v="2"/>
    <n v="14"/>
    <n v="149.79999999999998"/>
    <n v="5.68"/>
    <n v="144.12"/>
  </r>
  <r>
    <s v="17A667C3"/>
    <x v="27"/>
    <x v="3"/>
    <s v="CUST5847"/>
    <s v="Sophia Patel"/>
    <s v="Canada"/>
    <x v="8"/>
    <x v="4"/>
    <x v="6"/>
    <n v="481"/>
    <n v="28.12"/>
    <n v="4.3"/>
    <x v="26"/>
    <n v="3"/>
    <n v="2"/>
    <n v="199.02"/>
    <n v="7.4"/>
    <n v="191.62"/>
  </r>
  <r>
    <s v="6106F9CC"/>
    <x v="28"/>
    <x v="3"/>
    <s v="CUST3577"/>
    <s v="Sara Brown"/>
    <s v="Indonesia"/>
    <x v="0"/>
    <x v="1"/>
    <x v="1"/>
    <n v="599"/>
    <n v="41.97"/>
    <n v="1.4"/>
    <x v="27"/>
    <n v="4"/>
    <n v="13"/>
    <n v="525.19999999999993"/>
    <n v="7.71"/>
    <n v="517.49"/>
  </r>
  <r>
    <s v="473C0337"/>
    <x v="29"/>
    <x v="6"/>
    <s v="CUST9452"/>
    <s v="Priya Das"/>
    <s v="Canada"/>
    <x v="6"/>
    <x v="2"/>
    <x v="10"/>
    <n v="3805"/>
    <n v="40.82"/>
    <n v="2.8"/>
    <x v="28"/>
    <n v="2"/>
    <n v="12"/>
    <n v="606.24"/>
    <n v="2.2400000000000002"/>
    <n v="604"/>
  </r>
  <r>
    <s v="96BFD98F"/>
    <x v="30"/>
    <x v="7"/>
    <s v="CUST6250"/>
    <s v="Kumar Taylor"/>
    <s v="Qatar"/>
    <x v="4"/>
    <x v="2"/>
    <x v="11"/>
    <n v="2254"/>
    <n v="29.38"/>
    <n v="2.7"/>
    <x v="29"/>
    <n v="3"/>
    <n v="20"/>
    <n v="2338.1999999999998"/>
    <n v="2.39"/>
    <n v="2335.81"/>
  </r>
  <r>
    <s v="941BCEE6"/>
    <x v="31"/>
    <x v="8"/>
    <s v="CUST2641"/>
    <s v="John Das"/>
    <s v="Indonesia"/>
    <x v="5"/>
    <x v="0"/>
    <x v="0"/>
    <n v="3682"/>
    <n v="30.95"/>
    <n v="4.9000000000000004"/>
    <x v="30"/>
    <n v="4"/>
    <n v="16"/>
    <n v="1240.32"/>
    <n v="8.68"/>
    <n v="1231.6400000000001"/>
  </r>
  <r>
    <s v="1EB560A9"/>
    <x v="32"/>
    <x v="0"/>
    <s v="CUST3004"/>
    <s v="Priya Das"/>
    <s v="India"/>
    <x v="2"/>
    <x v="1"/>
    <x v="8"/>
    <n v="1406"/>
    <n v="48.04"/>
    <n v="1.8"/>
    <x v="31"/>
    <n v="5"/>
    <n v="5"/>
    <n v="969.75"/>
    <n v="7.23"/>
    <n v="962.52"/>
  </r>
  <r>
    <s v="ECA38CA8"/>
    <x v="33"/>
    <x v="4"/>
    <s v="CUST3173"/>
    <s v="Sophia Khan"/>
    <s v="Brazil"/>
    <x v="6"/>
    <x v="4"/>
    <x v="11"/>
    <n v="4227"/>
    <n v="7.69"/>
    <n v="3.2"/>
    <x v="32"/>
    <n v="5"/>
    <n v="18"/>
    <n v="643.5"/>
    <n v="6.53"/>
    <n v="636.97"/>
  </r>
  <r>
    <s v="BBEE5BC4"/>
    <x v="34"/>
    <x v="5"/>
    <s v="CUST6958"/>
    <s v="Priya Singh"/>
    <s v="Indonesia"/>
    <x v="7"/>
    <x v="3"/>
    <x v="3"/>
    <n v="2823"/>
    <n v="7.79"/>
    <n v="4.0999999999999996"/>
    <x v="33"/>
    <n v="4"/>
    <n v="15"/>
    <n v="1143.5999999999999"/>
    <n v="7.69"/>
    <n v="1135.9100000000001"/>
  </r>
  <r>
    <s v="2E5C5F55"/>
    <x v="35"/>
    <x v="8"/>
    <s v="CUST8685"/>
    <s v="Emily Taylor"/>
    <s v="Singapore"/>
    <x v="1"/>
    <x v="0"/>
    <x v="12"/>
    <n v="425"/>
    <n v="37.36"/>
    <n v="1.9"/>
    <x v="34"/>
    <n v="2"/>
    <n v="16"/>
    <n v="984.32"/>
    <n v="5.58"/>
    <n v="978.74"/>
  </r>
  <r>
    <s v="0E9A57D6"/>
    <x v="36"/>
    <x v="9"/>
    <s v="CUST4825"/>
    <s v="Sara Sharma"/>
    <s v="Philippines"/>
    <x v="0"/>
    <x v="1"/>
    <x v="9"/>
    <n v="3609"/>
    <n v="23.95"/>
    <n v="4.9000000000000004"/>
    <x v="35"/>
    <n v="4"/>
    <n v="11"/>
    <n v="1004.52"/>
    <n v="1.19"/>
    <n v="1003.33"/>
  </r>
  <r>
    <s v="C608423C"/>
    <x v="37"/>
    <x v="5"/>
    <s v="CUST9961"/>
    <s v="Sara Smith"/>
    <s v="Indonesia"/>
    <x v="2"/>
    <x v="0"/>
    <x v="10"/>
    <n v="4810"/>
    <n v="9.3000000000000007"/>
    <n v="2.4"/>
    <x v="36"/>
    <n v="1"/>
    <n v="14"/>
    <n v="327.59999999999997"/>
    <n v="3.93"/>
    <n v="323.67"/>
  </r>
  <r>
    <s v="CBB9244B"/>
    <x v="38"/>
    <x v="8"/>
    <s v="CUST4074"/>
    <s v="Ahmed Singh"/>
    <s v="Brazil"/>
    <x v="5"/>
    <x v="0"/>
    <x v="8"/>
    <n v="1606"/>
    <n v="5.76"/>
    <n v="2.6"/>
    <x v="37"/>
    <n v="2"/>
    <n v="15"/>
    <n v="361.2"/>
    <n v="2.8"/>
    <n v="358.4"/>
  </r>
  <r>
    <s v="82657C8F"/>
    <x v="39"/>
    <x v="6"/>
    <s v="CUST4993"/>
    <s v="Sophia Taylor"/>
    <s v="Canada"/>
    <x v="4"/>
    <x v="4"/>
    <x v="2"/>
    <n v="3555"/>
    <n v="49.93"/>
    <n v="2.6"/>
    <x v="38"/>
    <n v="2"/>
    <n v="6"/>
    <n v="437.28"/>
    <n v="7.71"/>
    <n v="429.57"/>
  </r>
  <r>
    <s v="133943F7"/>
    <x v="40"/>
    <x v="9"/>
    <s v="CUST8876"/>
    <s v="Anita Brown"/>
    <s v="Canada"/>
    <x v="1"/>
    <x v="3"/>
    <x v="2"/>
    <n v="997"/>
    <n v="18.600000000000001"/>
    <n v="2.7"/>
    <x v="39"/>
    <n v="3"/>
    <n v="9"/>
    <n v="347.49"/>
    <n v="3.95"/>
    <n v="343.54"/>
  </r>
  <r>
    <s v="4071B239"/>
    <x v="41"/>
    <x v="4"/>
    <s v="CUST3574"/>
    <s v="John Lee"/>
    <s v="South Africa"/>
    <x v="6"/>
    <x v="4"/>
    <x v="2"/>
    <n v="688"/>
    <n v="17.309999999999999"/>
    <n v="4.5"/>
    <x v="40"/>
    <n v="3"/>
    <n v="19"/>
    <n v="505.02"/>
    <n v="0.14000000000000001"/>
    <n v="504.88"/>
  </r>
  <r>
    <s v="3D14FA05"/>
    <x v="42"/>
    <x v="2"/>
    <s v="CUST2090"/>
    <s v="Sophia Das"/>
    <s v="New Zealand"/>
    <x v="3"/>
    <x v="2"/>
    <x v="12"/>
    <n v="4921"/>
    <n v="43.23"/>
    <n v="3.4"/>
    <x v="41"/>
    <n v="2"/>
    <n v="6"/>
    <n v="202.68"/>
    <n v="9.4499999999999993"/>
    <n v="193.23"/>
  </r>
  <r>
    <s v="BC6D7EF0"/>
    <x v="43"/>
    <x v="1"/>
    <s v="CUST8376"/>
    <s v="Kumar Taylor"/>
    <s v="Australia"/>
    <x v="5"/>
    <x v="3"/>
    <x v="8"/>
    <n v="500"/>
    <n v="41.33"/>
    <n v="4.0999999999999996"/>
    <x v="42"/>
    <n v="4"/>
    <n v="7"/>
    <n v="298.2"/>
    <n v="7.89"/>
    <n v="290.31"/>
  </r>
  <r>
    <s v="F318564A"/>
    <x v="44"/>
    <x v="8"/>
    <s v="CUST2204"/>
    <s v="Anita Taylor"/>
    <s v="Qatar"/>
    <x v="8"/>
    <x v="0"/>
    <x v="8"/>
    <n v="728"/>
    <n v="7.32"/>
    <n v="2.5"/>
    <x v="43"/>
    <n v="5"/>
    <n v="20"/>
    <n v="961"/>
    <n v="3.63"/>
    <n v="957.37"/>
  </r>
  <r>
    <s v="452F5DDD"/>
    <x v="45"/>
    <x v="1"/>
    <s v="CUST2728"/>
    <s v="Anita Khan"/>
    <s v="Indonesia"/>
    <x v="7"/>
    <x v="4"/>
    <x v="2"/>
    <n v="222"/>
    <n v="30.62"/>
    <n v="2.5"/>
    <x v="44"/>
    <n v="1"/>
    <n v="18"/>
    <n v="548.46"/>
    <n v="6.03"/>
    <n v="542.42999999999995"/>
  </r>
  <r>
    <s v="F3437C6A"/>
    <x v="46"/>
    <x v="2"/>
    <s v="CUST6116"/>
    <s v="Ahmed Khan"/>
    <s v="South Africa"/>
    <x v="4"/>
    <x v="2"/>
    <x v="2"/>
    <n v="4496"/>
    <n v="12.1"/>
    <n v="4.3"/>
    <x v="45"/>
    <n v="5"/>
    <n v="7"/>
    <n v="407.05000000000007"/>
    <n v="1.97"/>
    <n v="405.08"/>
  </r>
  <r>
    <s v="26F5A634"/>
    <x v="47"/>
    <x v="3"/>
    <s v="CUST9989"/>
    <s v="John Lee"/>
    <s v="Singapore"/>
    <x v="3"/>
    <x v="3"/>
    <x v="13"/>
    <n v="851"/>
    <n v="49.36"/>
    <n v="1.2"/>
    <x v="46"/>
    <n v="4"/>
    <n v="9"/>
    <n v="1397.16"/>
    <n v="9.68"/>
    <n v="1387.48"/>
  </r>
  <r>
    <s v="42052A03"/>
    <x v="48"/>
    <x v="2"/>
    <s v="CUST6821"/>
    <s v="John Sharma"/>
    <s v="New Zealand"/>
    <x v="8"/>
    <x v="3"/>
    <x v="1"/>
    <n v="1935"/>
    <n v="33.58"/>
    <n v="2.5"/>
    <x v="47"/>
    <n v="4"/>
    <n v="12"/>
    <n v="1049.28"/>
    <n v="4.68"/>
    <n v="1044.5999999999999"/>
  </r>
  <r>
    <s v="CEE6DF9E"/>
    <x v="49"/>
    <x v="8"/>
    <s v="CUST8941"/>
    <s v="John Smith"/>
    <s v="Philippines"/>
    <x v="6"/>
    <x v="2"/>
    <x v="8"/>
    <n v="386"/>
    <n v="45.53"/>
    <n v="1.7"/>
    <x v="48"/>
    <n v="3"/>
    <n v="13"/>
    <n v="939.51"/>
    <n v="4.4000000000000004"/>
    <n v="935.11"/>
  </r>
  <r>
    <s v="A7E39499"/>
    <x v="50"/>
    <x v="4"/>
    <s v="CUST4130"/>
    <s v="Kumar Singh"/>
    <s v="Singapore"/>
    <x v="1"/>
    <x v="1"/>
    <x v="6"/>
    <n v="3991"/>
    <n v="17.12"/>
    <n v="1.5"/>
    <x v="49"/>
    <n v="5"/>
    <n v="11"/>
    <n v="1298"/>
    <n v="2.93"/>
    <n v="1295.07"/>
  </r>
  <r>
    <s v="8CA04517"/>
    <x v="51"/>
    <x v="6"/>
    <s v="CUST6932"/>
    <s v="Priya Sharma"/>
    <s v="New Zealand"/>
    <x v="4"/>
    <x v="4"/>
    <x v="5"/>
    <n v="1616"/>
    <n v="26.7"/>
    <n v="2.1"/>
    <x v="50"/>
    <n v="5"/>
    <n v="6"/>
    <n v="272.39999999999998"/>
    <n v="2.5299999999999998"/>
    <n v="269.87"/>
  </r>
  <r>
    <s v="FA4261A4"/>
    <x v="52"/>
    <x v="5"/>
    <s v="CUST9017"/>
    <s v="Anita Singh"/>
    <s v="Brazil"/>
    <x v="3"/>
    <x v="0"/>
    <x v="10"/>
    <n v="3028"/>
    <n v="16.37"/>
    <n v="4.9000000000000004"/>
    <x v="51"/>
    <n v="2"/>
    <n v="1"/>
    <n v="50.5"/>
    <n v="8.24"/>
    <n v="42.26"/>
  </r>
  <r>
    <s v="BEC4D5E2"/>
    <x v="53"/>
    <x v="2"/>
    <s v="CUST2411"/>
    <s v="Ahmed Sharma"/>
    <s v="South Africa"/>
    <x v="1"/>
    <x v="2"/>
    <x v="6"/>
    <n v="3491"/>
    <n v="40.04"/>
    <n v="4.0999999999999996"/>
    <x v="52"/>
    <n v="5"/>
    <n v="6"/>
    <n v="958.2"/>
    <n v="9.4499999999999993"/>
    <n v="948.75"/>
  </r>
  <r>
    <s v="CD874924"/>
    <x v="54"/>
    <x v="0"/>
    <s v="CUST8436"/>
    <s v="Sophia Smith"/>
    <s v="Brazil"/>
    <x v="4"/>
    <x v="2"/>
    <x v="6"/>
    <n v="4628"/>
    <n v="24.02"/>
    <n v="3.7"/>
    <x v="53"/>
    <n v="5"/>
    <n v="3"/>
    <n v="96.300000000000011"/>
    <n v="0.69"/>
    <n v="95.61"/>
  </r>
  <r>
    <s v="564B91F9"/>
    <x v="55"/>
    <x v="8"/>
    <s v="CUST1047"/>
    <s v="Anita Taylor"/>
    <s v="Canada"/>
    <x v="1"/>
    <x v="4"/>
    <x v="14"/>
    <n v="1694"/>
    <n v="15.06"/>
    <n v="4.4000000000000004"/>
    <x v="54"/>
    <n v="5"/>
    <n v="7"/>
    <n v="1241.7999999999997"/>
    <n v="9.3800000000000008"/>
    <n v="1232.42"/>
  </r>
  <r>
    <s v="D3497277"/>
    <x v="56"/>
    <x v="1"/>
    <s v="CUST6162"/>
    <s v="Emily Taylor"/>
    <s v="Philippines"/>
    <x v="1"/>
    <x v="2"/>
    <x v="3"/>
    <n v="3609"/>
    <n v="48.97"/>
    <n v="2.2000000000000002"/>
    <x v="55"/>
    <n v="1"/>
    <n v="15"/>
    <n v="183.15"/>
    <n v="4.0999999999999996"/>
    <n v="179.05"/>
  </r>
  <r>
    <s v="B9839CEA"/>
    <x v="57"/>
    <x v="6"/>
    <s v="CUST5520"/>
    <s v="Sophia Khan"/>
    <s v="New Zealand"/>
    <x v="1"/>
    <x v="2"/>
    <x v="0"/>
    <n v="3669"/>
    <n v="27.09"/>
    <n v="2.8"/>
    <x v="56"/>
    <n v="5"/>
    <n v="6"/>
    <n v="299.70000000000005"/>
    <n v="8.33"/>
    <n v="291.37"/>
  </r>
  <r>
    <s v="645986BA"/>
    <x v="58"/>
    <x v="7"/>
    <s v="CUST9758"/>
    <s v="John Sharma"/>
    <s v="Philippines"/>
    <x v="6"/>
    <x v="3"/>
    <x v="11"/>
    <n v="3267"/>
    <n v="11.52"/>
    <n v="2.6"/>
    <x v="57"/>
    <n v="4"/>
    <n v="4"/>
    <n v="537.76"/>
    <n v="2.33"/>
    <n v="535.42999999999995"/>
  </r>
  <r>
    <s v="71415B23"/>
    <x v="59"/>
    <x v="0"/>
    <s v="CUST6966"/>
    <s v="David Das"/>
    <s v="India"/>
    <x v="0"/>
    <x v="3"/>
    <x v="5"/>
    <n v="982"/>
    <n v="27.05"/>
    <n v="1.5"/>
    <x v="58"/>
    <n v="4"/>
    <n v="19"/>
    <n v="486.40000000000003"/>
    <n v="1.88"/>
    <n v="484.52"/>
  </r>
  <r>
    <s v="472D5CA0"/>
    <x v="60"/>
    <x v="3"/>
    <s v="CUST2402"/>
    <s v="Ravi Khan"/>
    <s v="Philippines"/>
    <x v="2"/>
    <x v="1"/>
    <x v="13"/>
    <n v="1697"/>
    <n v="28.48"/>
    <n v="4.3"/>
    <x v="59"/>
    <n v="1"/>
    <n v="18"/>
    <n v="420.48"/>
    <n v="2.68"/>
    <n v="417.8"/>
  </r>
  <r>
    <s v="78A468B1"/>
    <x v="61"/>
    <x v="7"/>
    <s v="CUST5059"/>
    <s v="Sara Taylor"/>
    <s v="Brazil"/>
    <x v="2"/>
    <x v="2"/>
    <x v="3"/>
    <n v="4715"/>
    <n v="14.65"/>
    <n v="2.9"/>
    <x v="60"/>
    <n v="5"/>
    <n v="2"/>
    <n v="275"/>
    <n v="0.84"/>
    <n v="274.16000000000003"/>
  </r>
  <r>
    <s v="FDD8ACDC"/>
    <x v="62"/>
    <x v="9"/>
    <s v="CUST4569"/>
    <s v="Sophia Garcia"/>
    <s v="Qatar"/>
    <x v="0"/>
    <x v="1"/>
    <x v="2"/>
    <n v="3305"/>
    <n v="7.93"/>
    <n v="2.5"/>
    <x v="61"/>
    <n v="2"/>
    <n v="16"/>
    <n v="939.84"/>
    <n v="4.9000000000000004"/>
    <n v="934.94"/>
  </r>
  <r>
    <s v="6415EE94"/>
    <x v="63"/>
    <x v="7"/>
    <s v="CUST6000"/>
    <s v="Kumar Patel"/>
    <s v="South Africa"/>
    <x v="7"/>
    <x v="1"/>
    <x v="5"/>
    <n v="2920"/>
    <n v="26.08"/>
    <n v="1.4"/>
    <x v="62"/>
    <n v="1"/>
    <n v="15"/>
    <n v="277.2"/>
    <n v="0.98"/>
    <n v="276.22000000000003"/>
  </r>
  <r>
    <s v="0B42BFE8"/>
    <x v="64"/>
    <x v="1"/>
    <s v="CUST6729"/>
    <s v="Sophia Smith"/>
    <s v="Philippines"/>
    <x v="7"/>
    <x v="0"/>
    <x v="2"/>
    <n v="4438"/>
    <n v="13.42"/>
    <n v="4.5999999999999996"/>
    <x v="63"/>
    <n v="3"/>
    <n v="14"/>
    <n v="1372.98"/>
    <n v="0.36"/>
    <n v="1372.62"/>
  </r>
  <r>
    <s v="4E33330C"/>
    <x v="65"/>
    <x v="2"/>
    <s v="CUST7088"/>
    <s v="John Taylor"/>
    <s v="Indonesia"/>
    <x v="8"/>
    <x v="0"/>
    <x v="13"/>
    <n v="2193"/>
    <n v="31.28"/>
    <n v="3.6"/>
    <x v="64"/>
    <n v="2"/>
    <n v="6"/>
    <n v="153.12"/>
    <n v="4.13"/>
    <n v="148.99"/>
  </r>
  <r>
    <s v="F9485BE7"/>
    <x v="66"/>
    <x v="3"/>
    <s v="CUST7844"/>
    <s v="Priya Patel"/>
    <s v="Indonesia"/>
    <x v="3"/>
    <x v="1"/>
    <x v="11"/>
    <n v="3213"/>
    <n v="10.82"/>
    <n v="2.5"/>
    <x v="65"/>
    <n v="5"/>
    <n v="14"/>
    <n v="1299.8999999999999"/>
    <n v="8.17"/>
    <n v="1291.73"/>
  </r>
  <r>
    <s v="B6AB3941"/>
    <x v="67"/>
    <x v="4"/>
    <s v="CUST7362"/>
    <s v="John Das"/>
    <s v="Australia"/>
    <x v="5"/>
    <x v="3"/>
    <x v="3"/>
    <n v="3739"/>
    <n v="9.86"/>
    <n v="3.6"/>
    <x v="66"/>
    <n v="5"/>
    <n v="10"/>
    <n v="358"/>
    <n v="5.39"/>
    <n v="352.61"/>
  </r>
  <r>
    <s v="194D2C59"/>
    <x v="68"/>
    <x v="3"/>
    <s v="CUST4706"/>
    <s v="John Patel"/>
    <s v="Brazil"/>
    <x v="8"/>
    <x v="1"/>
    <x v="14"/>
    <n v="1953"/>
    <n v="26.29"/>
    <n v="2.2000000000000002"/>
    <x v="67"/>
    <n v="3"/>
    <n v="2"/>
    <n v="49.38"/>
    <n v="8.68"/>
    <n v="40.700000000000003"/>
  </r>
  <r>
    <s v="CBDE350B"/>
    <x v="69"/>
    <x v="0"/>
    <s v="CUST2733"/>
    <s v="Anita Patel"/>
    <s v="South Africa"/>
    <x v="4"/>
    <x v="1"/>
    <x v="6"/>
    <n v="52"/>
    <n v="40.380000000000003"/>
    <n v="4.7"/>
    <x v="68"/>
    <n v="4"/>
    <n v="12"/>
    <n v="1638.2400000000002"/>
    <n v="6.2"/>
    <n v="1632.04"/>
  </r>
  <r>
    <s v="1F204FD5"/>
    <x v="70"/>
    <x v="0"/>
    <s v="CUST3817"/>
    <s v="John Khan"/>
    <s v="Australia"/>
    <x v="4"/>
    <x v="2"/>
    <x v="4"/>
    <n v="3158"/>
    <n v="31.08"/>
    <n v="2.5"/>
    <x v="69"/>
    <n v="1"/>
    <n v="7"/>
    <n v="149.51999999999998"/>
    <n v="4.5599999999999996"/>
    <n v="144.96"/>
  </r>
  <r>
    <s v="194506CB"/>
    <x v="71"/>
    <x v="2"/>
    <s v="CUST4126"/>
    <s v="Ahmed Brown"/>
    <s v="New Zealand"/>
    <x v="8"/>
    <x v="3"/>
    <x v="1"/>
    <n v="2011"/>
    <n v="10.49"/>
    <n v="3.7"/>
    <x v="70"/>
    <n v="4"/>
    <n v="14"/>
    <n v="1482.88"/>
    <n v="4.1100000000000003"/>
    <n v="1478.77"/>
  </r>
  <r>
    <s v="42DCC405"/>
    <x v="72"/>
    <x v="0"/>
    <s v="CUST2242"/>
    <s v="Sophia Smith"/>
    <s v="Brazil"/>
    <x v="4"/>
    <x v="2"/>
    <x v="9"/>
    <n v="198"/>
    <n v="33.33"/>
    <n v="3.5"/>
    <x v="71"/>
    <n v="1"/>
    <n v="10"/>
    <n v="150.39999999999998"/>
    <n v="2.0499999999999998"/>
    <n v="148.35"/>
  </r>
  <r>
    <s v="625DC01C"/>
    <x v="73"/>
    <x v="5"/>
    <s v="CUST9617"/>
    <s v="David Das"/>
    <s v="Qatar"/>
    <x v="8"/>
    <x v="2"/>
    <x v="14"/>
    <n v="3817"/>
    <n v="14.11"/>
    <n v="1.8"/>
    <x v="72"/>
    <n v="2"/>
    <n v="6"/>
    <n v="262.44"/>
    <n v="3.5"/>
    <n v="258.94"/>
  </r>
  <r>
    <s v="F25A2D62"/>
    <x v="74"/>
    <x v="8"/>
    <s v="CUST8979"/>
    <s v="John Lee"/>
    <s v="Indonesia"/>
    <x v="2"/>
    <x v="2"/>
    <x v="12"/>
    <n v="1496"/>
    <n v="47.88"/>
    <n v="4.2"/>
    <x v="73"/>
    <n v="2"/>
    <n v="2"/>
    <n v="40.840000000000003"/>
    <n v="5.87"/>
    <n v="34.97"/>
  </r>
  <r>
    <s v="3CC1D45A"/>
    <x v="75"/>
    <x v="7"/>
    <s v="CUST4311"/>
    <s v="Anita Khan"/>
    <s v="Singapore"/>
    <x v="3"/>
    <x v="4"/>
    <x v="5"/>
    <n v="4379"/>
    <n v="10.119999999999999"/>
    <n v="1.6"/>
    <x v="74"/>
    <n v="5"/>
    <n v="10"/>
    <n v="371.5"/>
    <n v="8.68"/>
    <n v="362.82"/>
  </r>
  <r>
    <s v="7825C912"/>
    <x v="76"/>
    <x v="1"/>
    <s v="CUST5410"/>
    <s v="Anita Brown"/>
    <s v="Indonesia"/>
    <x v="5"/>
    <x v="1"/>
    <x v="1"/>
    <n v="2259"/>
    <n v="12.83"/>
    <n v="3.4"/>
    <x v="75"/>
    <n v="1"/>
    <n v="12"/>
    <n v="335.28000000000003"/>
    <n v="1.03"/>
    <n v="334.25"/>
  </r>
  <r>
    <s v="B8CF26A6"/>
    <x v="77"/>
    <x v="4"/>
    <s v="CUST3359"/>
    <s v="Emily Garcia"/>
    <s v="South Africa"/>
    <x v="8"/>
    <x v="1"/>
    <x v="10"/>
    <n v="993"/>
    <n v="31.77"/>
    <n v="2.2000000000000002"/>
    <x v="76"/>
    <n v="5"/>
    <n v="4"/>
    <n v="203.6"/>
    <n v="1.01"/>
    <n v="202.59"/>
  </r>
  <r>
    <s v="4EB90E03"/>
    <x v="78"/>
    <x v="2"/>
    <s v="CUST8122"/>
    <s v="Sara Garcia"/>
    <s v="Qatar"/>
    <x v="4"/>
    <x v="1"/>
    <x v="10"/>
    <n v="3454"/>
    <n v="46.53"/>
    <n v="4.0999999999999996"/>
    <x v="77"/>
    <n v="4"/>
    <n v="18"/>
    <n v="1961.28"/>
    <n v="9.99"/>
    <n v="1951.29"/>
  </r>
  <r>
    <s v="778726B5"/>
    <x v="79"/>
    <x v="7"/>
    <s v="CUST5513"/>
    <s v="Sara Das"/>
    <s v="India"/>
    <x v="5"/>
    <x v="3"/>
    <x v="10"/>
    <n v="1357"/>
    <n v="27.37"/>
    <n v="4.0999999999999996"/>
    <x v="78"/>
    <n v="3"/>
    <n v="11"/>
    <n v="292.04999999999995"/>
    <n v="1.69"/>
    <n v="290.36"/>
  </r>
  <r>
    <s v="919D0D43"/>
    <x v="80"/>
    <x v="0"/>
    <s v="CUST7831"/>
    <s v="Priya Singh"/>
    <s v="New Zealand"/>
    <x v="4"/>
    <x v="4"/>
    <x v="6"/>
    <n v="1919"/>
    <n v="37.409999999999997"/>
    <n v="2.2000000000000002"/>
    <x v="79"/>
    <n v="1"/>
    <n v="17"/>
    <n v="439.62"/>
    <n v="8.1"/>
    <n v="431.52"/>
  </r>
  <r>
    <s v="D15B085D"/>
    <x v="81"/>
    <x v="2"/>
    <s v="CUST6074"/>
    <s v="Sara Patel"/>
    <s v="Philippines"/>
    <x v="3"/>
    <x v="4"/>
    <x v="9"/>
    <n v="3387"/>
    <n v="38.19"/>
    <n v="2.8"/>
    <x v="80"/>
    <n v="4"/>
    <n v="20"/>
    <n v="550.4"/>
    <n v="7.95"/>
    <n v="542.45000000000005"/>
  </r>
  <r>
    <s v="0405B076"/>
    <x v="82"/>
    <x v="4"/>
    <s v="CUST2694"/>
    <s v="Priya Brown"/>
    <s v="Qatar"/>
    <x v="4"/>
    <x v="2"/>
    <x v="6"/>
    <n v="4940"/>
    <n v="21.4"/>
    <n v="4.0999999999999996"/>
    <x v="81"/>
    <n v="5"/>
    <n v="18"/>
    <n v="1710"/>
    <n v="6.52"/>
    <n v="1703.48"/>
  </r>
  <r>
    <s v="E7CE441F"/>
    <x v="83"/>
    <x v="1"/>
    <s v="CUST2906"/>
    <s v="Kumar Lee"/>
    <s v="Canada"/>
    <x v="6"/>
    <x v="4"/>
    <x v="5"/>
    <n v="940"/>
    <n v="33.590000000000003"/>
    <n v="4.5999999999999996"/>
    <x v="82"/>
    <n v="5"/>
    <n v="3"/>
    <n v="127.35000000000001"/>
    <n v="6.05"/>
    <n v="121.3"/>
  </r>
  <r>
    <s v="D295209E"/>
    <x v="84"/>
    <x v="7"/>
    <s v="CUST1454"/>
    <s v="Sophia Brown"/>
    <s v="Canada"/>
    <x v="7"/>
    <x v="2"/>
    <x v="11"/>
    <n v="505"/>
    <n v="32.340000000000003"/>
    <n v="4.9000000000000004"/>
    <x v="83"/>
    <n v="2"/>
    <n v="9"/>
    <n v="642.41999999999996"/>
    <n v="7.42"/>
    <n v="635"/>
  </r>
  <r>
    <s v="79D4B933"/>
    <x v="85"/>
    <x v="8"/>
    <s v="CUST2002"/>
    <s v="Ahmed Smith"/>
    <s v="South Africa"/>
    <x v="1"/>
    <x v="3"/>
    <x v="14"/>
    <n v="1771"/>
    <n v="35.76"/>
    <n v="4"/>
    <x v="84"/>
    <n v="1"/>
    <n v="5"/>
    <n v="42.9"/>
    <n v="4.6100000000000003"/>
    <n v="38.29"/>
  </r>
  <r>
    <s v="912381DE"/>
    <x v="86"/>
    <x v="9"/>
    <s v="CUST5470"/>
    <s v="Kumar Khan"/>
    <s v="Canada"/>
    <x v="3"/>
    <x v="4"/>
    <x v="4"/>
    <n v="1019"/>
    <n v="32.76"/>
    <n v="1.3"/>
    <x v="85"/>
    <n v="3"/>
    <n v="4"/>
    <n v="255.48"/>
    <n v="2.2200000000000002"/>
    <n v="253.26"/>
  </r>
  <r>
    <s v="89A27AC7"/>
    <x v="87"/>
    <x v="7"/>
    <s v="CUST6502"/>
    <s v="Sara Garcia"/>
    <s v="Australia"/>
    <x v="1"/>
    <x v="2"/>
    <x v="3"/>
    <n v="3295"/>
    <n v="32.86"/>
    <n v="1.8"/>
    <x v="86"/>
    <n v="4"/>
    <n v="17"/>
    <n v="2438.48"/>
    <n v="2.42"/>
    <n v="2436.06"/>
  </r>
  <r>
    <s v="EF365C57"/>
    <x v="88"/>
    <x v="6"/>
    <s v="CUST6961"/>
    <s v="Anita Khan"/>
    <s v="Australia"/>
    <x v="3"/>
    <x v="3"/>
    <x v="4"/>
    <n v="686"/>
    <n v="30.66"/>
    <n v="4.0999999999999996"/>
    <x v="87"/>
    <n v="4"/>
    <n v="13"/>
    <n v="1914.64"/>
    <n v="3.77"/>
    <n v="1910.87"/>
  </r>
  <r>
    <s v="7513C565"/>
    <x v="89"/>
    <x v="8"/>
    <s v="CUST1547"/>
    <s v="Emily Garcia"/>
    <s v="India"/>
    <x v="6"/>
    <x v="1"/>
    <x v="6"/>
    <n v="2570"/>
    <n v="14.33"/>
    <n v="3.2"/>
    <x v="88"/>
    <n v="4"/>
    <n v="10"/>
    <n v="1549.6000000000001"/>
    <n v="7.97"/>
    <n v="1541.63"/>
  </r>
  <r>
    <s v="03A60750"/>
    <x v="90"/>
    <x v="9"/>
    <s v="CUST6774"/>
    <s v="Priya Brown"/>
    <s v="New Zealand"/>
    <x v="5"/>
    <x v="3"/>
    <x v="14"/>
    <n v="3981"/>
    <n v="24.38"/>
    <n v="3.9"/>
    <x v="89"/>
    <n v="4"/>
    <n v="18"/>
    <n v="776.16"/>
    <n v="5.9"/>
    <n v="770.26"/>
  </r>
  <r>
    <s v="CBBCC73B"/>
    <x v="91"/>
    <x v="8"/>
    <s v="CUST9187"/>
    <s v="David Khan"/>
    <s v="India"/>
    <x v="3"/>
    <x v="4"/>
    <x v="8"/>
    <n v="1247"/>
    <n v="23.13"/>
    <n v="4"/>
    <x v="90"/>
    <n v="3"/>
    <n v="18"/>
    <n v="585.9"/>
    <n v="3.02"/>
    <n v="582.88"/>
  </r>
  <r>
    <s v="F90B7C0F"/>
    <x v="92"/>
    <x v="2"/>
    <s v="CUST7074"/>
    <s v="Sophia Lee"/>
    <s v="Canada"/>
    <x v="0"/>
    <x v="3"/>
    <x v="1"/>
    <n v="4406"/>
    <n v="28.28"/>
    <n v="2"/>
    <x v="91"/>
    <n v="4"/>
    <n v="20"/>
    <n v="1958.4"/>
    <n v="2.0699999999999998"/>
    <n v="1956.33"/>
  </r>
  <r>
    <s v="9BDC36CF"/>
    <x v="93"/>
    <x v="7"/>
    <s v="CUST7752"/>
    <s v="Sophia Brown"/>
    <s v="Canada"/>
    <x v="5"/>
    <x v="0"/>
    <x v="8"/>
    <n v="1323"/>
    <n v="36.840000000000003"/>
    <n v="1.6"/>
    <x v="92"/>
    <n v="3"/>
    <n v="4"/>
    <n v="303.48"/>
    <n v="5.01"/>
    <n v="298.47000000000003"/>
  </r>
  <r>
    <s v="9C24C20B"/>
    <x v="94"/>
    <x v="2"/>
    <s v="CUST1649"/>
    <s v="David Sharma"/>
    <s v="South Africa"/>
    <x v="2"/>
    <x v="1"/>
    <x v="6"/>
    <n v="2855"/>
    <n v="18.68"/>
    <n v="4.3"/>
    <x v="93"/>
    <n v="4"/>
    <n v="1"/>
    <n v="106.96"/>
    <n v="7.68"/>
    <n v="99.28"/>
  </r>
  <r>
    <s v="578B4C9D"/>
    <x v="95"/>
    <x v="5"/>
    <s v="CUST3480"/>
    <s v="John Taylor"/>
    <s v="Indonesia"/>
    <x v="4"/>
    <x v="0"/>
    <x v="7"/>
    <n v="4172"/>
    <n v="49.79"/>
    <n v="3.7"/>
    <x v="94"/>
    <n v="2"/>
    <n v="15"/>
    <n v="346.8"/>
    <n v="2.14"/>
    <n v="344.66"/>
  </r>
  <r>
    <s v="D15FCE9E"/>
    <x v="96"/>
    <x v="0"/>
    <s v="CUST2195"/>
    <s v="Anita Brown"/>
    <s v="Singapore"/>
    <x v="6"/>
    <x v="0"/>
    <x v="13"/>
    <n v="452"/>
    <n v="31.49"/>
    <n v="1.7"/>
    <x v="95"/>
    <n v="5"/>
    <n v="13"/>
    <n v="2389.3999999999996"/>
    <n v="9.69"/>
    <n v="2379.71"/>
  </r>
  <r>
    <s v="54C87980"/>
    <x v="97"/>
    <x v="8"/>
    <s v="CUST7451"/>
    <s v="Sara Lee"/>
    <s v="Australia"/>
    <x v="4"/>
    <x v="0"/>
    <x v="13"/>
    <n v="4685"/>
    <n v="5.07"/>
    <n v="3.4"/>
    <x v="55"/>
    <n v="2"/>
    <n v="14"/>
    <n v="341.88"/>
    <n v="8.77"/>
    <n v="333.11"/>
  </r>
  <r>
    <s v="0B1BB900"/>
    <x v="98"/>
    <x v="2"/>
    <s v="CUST5904"/>
    <s v="Emily Khan"/>
    <s v="Brazil"/>
    <x v="7"/>
    <x v="0"/>
    <x v="12"/>
    <n v="3412"/>
    <n v="43.34"/>
    <n v="1.4"/>
    <x v="96"/>
    <n v="2"/>
    <n v="10"/>
    <n v="704.59999999999991"/>
    <n v="6.96"/>
    <n v="697.64"/>
  </r>
  <r>
    <s v="3A7680AE"/>
    <x v="99"/>
    <x v="4"/>
    <s v="CUST3701"/>
    <s v="Anita Das"/>
    <s v="Qatar"/>
    <x v="7"/>
    <x v="3"/>
    <x v="6"/>
    <n v="2566"/>
    <n v="8.76"/>
    <n v="1.4"/>
    <x v="97"/>
    <n v="2"/>
    <n v="15"/>
    <n v="938.69999999999993"/>
    <n v="3"/>
    <n v="935.7"/>
  </r>
  <r>
    <s v="87EC60CA"/>
    <x v="100"/>
    <x v="3"/>
    <s v="CUST2241"/>
    <s v="Kumar Patel"/>
    <s v="Indonesia"/>
    <x v="6"/>
    <x v="4"/>
    <x v="3"/>
    <n v="4473"/>
    <n v="8.18"/>
    <n v="2.5"/>
    <x v="98"/>
    <n v="4"/>
    <n v="2"/>
    <n v="248.08"/>
    <n v="7.93"/>
    <n v="240.15"/>
  </r>
  <r>
    <s v="D1BA7772"/>
    <x v="101"/>
    <x v="5"/>
    <s v="CUST8779"/>
    <s v="Anita Lee"/>
    <s v="Philippines"/>
    <x v="5"/>
    <x v="1"/>
    <x v="11"/>
    <n v="1375"/>
    <n v="21.83"/>
    <n v="2.2999999999999998"/>
    <x v="99"/>
    <n v="5"/>
    <n v="3"/>
    <n v="508.5"/>
    <n v="0.19"/>
    <n v="508.31"/>
  </r>
  <r>
    <s v="8CFC99EA"/>
    <x v="102"/>
    <x v="0"/>
    <s v="CUST6678"/>
    <s v="Priya Khan"/>
    <s v="South Africa"/>
    <x v="4"/>
    <x v="2"/>
    <x v="0"/>
    <n v="2994"/>
    <n v="39.24"/>
    <n v="3.6"/>
    <x v="100"/>
    <n v="4"/>
    <n v="6"/>
    <n v="675.36"/>
    <n v="7.82"/>
    <n v="667.54"/>
  </r>
  <r>
    <s v="AF7B36E3"/>
    <x v="103"/>
    <x v="9"/>
    <s v="CUST5974"/>
    <s v="Emily Smith"/>
    <s v="Indonesia"/>
    <x v="3"/>
    <x v="0"/>
    <x v="9"/>
    <n v="1595"/>
    <n v="10.37"/>
    <n v="4.4000000000000004"/>
    <x v="101"/>
    <n v="4"/>
    <n v="20"/>
    <n v="2096"/>
    <n v="3.21"/>
    <n v="2092.79"/>
  </r>
  <r>
    <s v="5891A3F6"/>
    <x v="104"/>
    <x v="3"/>
    <s v="CUST3821"/>
    <s v="Anita Brown"/>
    <s v="New Zealand"/>
    <x v="3"/>
    <x v="3"/>
    <x v="11"/>
    <n v="4347"/>
    <n v="21.55"/>
    <n v="2.2000000000000002"/>
    <x v="102"/>
    <n v="2"/>
    <n v="15"/>
    <n v="704.09999999999991"/>
    <n v="1.29"/>
    <n v="702.81"/>
  </r>
  <r>
    <s v="3D5B1CD8"/>
    <x v="105"/>
    <x v="3"/>
    <s v="CUST4908"/>
    <s v="Kumar Patel"/>
    <s v="Qatar"/>
    <x v="7"/>
    <x v="1"/>
    <x v="14"/>
    <n v="3860"/>
    <n v="15.59"/>
    <n v="3"/>
    <x v="103"/>
    <n v="5"/>
    <n v="8"/>
    <n v="1235.5999999999999"/>
    <n v="5"/>
    <n v="1230.5999999999999"/>
  </r>
  <r>
    <s v="C33FF3D8"/>
    <x v="106"/>
    <x v="8"/>
    <s v="CUST6856"/>
    <s v="Priya Taylor"/>
    <s v="Qatar"/>
    <x v="2"/>
    <x v="2"/>
    <x v="11"/>
    <n v="3284"/>
    <n v="17.2"/>
    <n v="1"/>
    <x v="104"/>
    <n v="3"/>
    <n v="14"/>
    <n v="401.94"/>
    <n v="1.79"/>
    <n v="400.15"/>
  </r>
  <r>
    <s v="DF3FBD4D"/>
    <x v="107"/>
    <x v="2"/>
    <s v="CUST7876"/>
    <s v="John Patel"/>
    <s v="Philippines"/>
    <x v="5"/>
    <x v="1"/>
    <x v="14"/>
    <n v="4892"/>
    <n v="27.91"/>
    <n v="4.5999999999999996"/>
    <x v="105"/>
    <n v="4"/>
    <n v="5"/>
    <n v="497.2"/>
    <n v="3.39"/>
    <n v="493.81"/>
  </r>
  <r>
    <s v="A20341F3"/>
    <x v="108"/>
    <x v="8"/>
    <s v="CUST2264"/>
    <s v="Ravi Das"/>
    <s v="Indonesia"/>
    <x v="3"/>
    <x v="3"/>
    <x v="9"/>
    <n v="3478"/>
    <n v="20.38"/>
    <n v="3"/>
    <x v="106"/>
    <n v="5"/>
    <n v="20"/>
    <n v="3672.9999999999995"/>
    <n v="8.0500000000000007"/>
    <n v="3664.95"/>
  </r>
  <r>
    <s v="F21E9122"/>
    <x v="109"/>
    <x v="5"/>
    <s v="CUST2420"/>
    <s v="Priya Singh"/>
    <s v="Australia"/>
    <x v="8"/>
    <x v="1"/>
    <x v="5"/>
    <n v="1782"/>
    <n v="30.73"/>
    <n v="4.2"/>
    <x v="107"/>
    <n v="3"/>
    <n v="11"/>
    <n v="1028.28"/>
    <n v="10"/>
    <n v="1018.28"/>
  </r>
  <r>
    <s v="36A74B40"/>
    <x v="110"/>
    <x v="1"/>
    <s v="CUST1551"/>
    <s v="Kumar Garcia"/>
    <s v="Qatar"/>
    <x v="3"/>
    <x v="3"/>
    <x v="9"/>
    <n v="2830"/>
    <n v="22.59"/>
    <n v="2.2999999999999998"/>
    <x v="108"/>
    <n v="3"/>
    <n v="20"/>
    <n v="1278"/>
    <n v="4.49"/>
    <n v="1273.51"/>
  </r>
  <r>
    <s v="9428D482"/>
    <x v="111"/>
    <x v="0"/>
    <s v="CUST8661"/>
    <s v="Anita Garcia"/>
    <s v="Qatar"/>
    <x v="4"/>
    <x v="3"/>
    <x v="7"/>
    <n v="3797"/>
    <n v="39.51"/>
    <n v="1.8"/>
    <x v="109"/>
    <n v="3"/>
    <n v="18"/>
    <n v="652.32000000000005"/>
    <n v="0.23"/>
    <n v="652.09"/>
  </r>
  <r>
    <s v="0C8EA7C3"/>
    <x v="112"/>
    <x v="6"/>
    <s v="CUST7836"/>
    <s v="Priya Singh"/>
    <s v="Australia"/>
    <x v="0"/>
    <x v="1"/>
    <x v="1"/>
    <n v="1977"/>
    <n v="32.549999999999997"/>
    <n v="4.7"/>
    <x v="110"/>
    <n v="1"/>
    <n v="16"/>
    <n v="353.6"/>
    <n v="3.69"/>
    <n v="349.91"/>
  </r>
  <r>
    <s v="38B827FE"/>
    <x v="113"/>
    <x v="4"/>
    <s v="CUST4736"/>
    <s v="Anita Brown"/>
    <s v="Australia"/>
    <x v="5"/>
    <x v="0"/>
    <x v="6"/>
    <n v="932"/>
    <n v="48.36"/>
    <n v="4.8"/>
    <x v="111"/>
    <n v="3"/>
    <n v="5"/>
    <n v="424.95"/>
    <n v="6.68"/>
    <n v="418.27"/>
  </r>
  <r>
    <s v="ADBD202C"/>
    <x v="55"/>
    <x v="6"/>
    <s v="CUST6939"/>
    <s v="Anita Smith"/>
    <s v="Qatar"/>
    <x v="0"/>
    <x v="1"/>
    <x v="12"/>
    <n v="198"/>
    <n v="28.24"/>
    <n v="1.3"/>
    <x v="112"/>
    <n v="2"/>
    <n v="14"/>
    <n v="658.84"/>
    <n v="0.27"/>
    <n v="658.57"/>
  </r>
  <r>
    <s v="B222E592"/>
    <x v="114"/>
    <x v="8"/>
    <s v="CUST1596"/>
    <s v="Priya Sharma"/>
    <s v="Indonesia"/>
    <x v="3"/>
    <x v="1"/>
    <x v="1"/>
    <n v="4251"/>
    <n v="13.48"/>
    <n v="2.2999999999999998"/>
    <x v="113"/>
    <n v="3"/>
    <n v="1"/>
    <n v="66.900000000000006"/>
    <n v="1.6"/>
    <n v="65.3"/>
  </r>
  <r>
    <s v="09073A38"/>
    <x v="115"/>
    <x v="0"/>
    <s v="CUST7370"/>
    <s v="Priya Garcia"/>
    <s v="Qatar"/>
    <x v="8"/>
    <x v="2"/>
    <x v="6"/>
    <n v="2020"/>
    <n v="30.85"/>
    <n v="5"/>
    <x v="114"/>
    <n v="4"/>
    <n v="15"/>
    <n v="909.6"/>
    <n v="6.49"/>
    <n v="903.11"/>
  </r>
  <r>
    <s v="BC15CFFB"/>
    <x v="116"/>
    <x v="5"/>
    <s v="CUST5904"/>
    <s v="Anita Brown"/>
    <s v="Philippines"/>
    <x v="0"/>
    <x v="2"/>
    <x v="11"/>
    <n v="2834"/>
    <n v="30.8"/>
    <n v="3.2"/>
    <x v="33"/>
    <n v="5"/>
    <n v="1"/>
    <n v="95.3"/>
    <n v="1.24"/>
    <n v="94.06"/>
  </r>
  <r>
    <s v="682A3586"/>
    <x v="117"/>
    <x v="3"/>
    <s v="CUST6082"/>
    <s v="Sophia Das"/>
    <s v="Canada"/>
    <x v="2"/>
    <x v="3"/>
    <x v="5"/>
    <n v="3097"/>
    <n v="26.44"/>
    <n v="2.4"/>
    <x v="115"/>
    <n v="5"/>
    <n v="16"/>
    <n v="2600"/>
    <n v="8.1300000000000008"/>
    <n v="2591.87"/>
  </r>
  <r>
    <s v="ACD11B18"/>
    <x v="118"/>
    <x v="4"/>
    <s v="CUST8888"/>
    <s v="Emily Taylor"/>
    <s v="Philippines"/>
    <x v="3"/>
    <x v="0"/>
    <x v="5"/>
    <n v="3057"/>
    <n v="44.19"/>
    <n v="4.7"/>
    <x v="116"/>
    <n v="3"/>
    <n v="6"/>
    <n v="629.46"/>
    <n v="0.08"/>
    <n v="629.38"/>
  </r>
  <r>
    <s v="ED15F5B1"/>
    <x v="119"/>
    <x v="2"/>
    <s v="CUST9930"/>
    <s v="Ahmed Brown"/>
    <s v="Australia"/>
    <x v="3"/>
    <x v="0"/>
    <x v="8"/>
    <n v="465"/>
    <n v="34.200000000000003"/>
    <n v="4.8"/>
    <x v="117"/>
    <n v="1"/>
    <n v="4"/>
    <n v="82.28"/>
    <n v="3.45"/>
    <n v="78.83"/>
  </r>
  <r>
    <s v="01D7EEE0"/>
    <x v="120"/>
    <x v="0"/>
    <s v="CUST5178"/>
    <s v="John Brown"/>
    <s v="Philippines"/>
    <x v="3"/>
    <x v="2"/>
    <x v="0"/>
    <n v="3778"/>
    <n v="15.16"/>
    <n v="3.6"/>
    <x v="118"/>
    <n v="5"/>
    <n v="6"/>
    <n v="1180.2"/>
    <n v="5.92"/>
    <n v="1174.28"/>
  </r>
  <r>
    <s v="A8DD92F7"/>
    <x v="121"/>
    <x v="6"/>
    <s v="CUST2520"/>
    <s v="Priya Lee"/>
    <s v="India"/>
    <x v="4"/>
    <x v="3"/>
    <x v="4"/>
    <n v="1372"/>
    <n v="47.75"/>
    <n v="2"/>
    <x v="119"/>
    <n v="4"/>
    <n v="6"/>
    <n v="583.20000000000005"/>
    <n v="0.98"/>
    <n v="582.22"/>
  </r>
  <r>
    <s v="9729F9E2"/>
    <x v="122"/>
    <x v="2"/>
    <s v="CUST2649"/>
    <s v="John Taylor"/>
    <s v="New Zealand"/>
    <x v="1"/>
    <x v="2"/>
    <x v="0"/>
    <n v="1155"/>
    <n v="14.32"/>
    <n v="4"/>
    <x v="120"/>
    <n v="1"/>
    <n v="17"/>
    <n v="520.88"/>
    <n v="3.99"/>
    <n v="516.89"/>
  </r>
  <r>
    <s v="29369F80"/>
    <x v="123"/>
    <x v="7"/>
    <s v="CUST9386"/>
    <s v="David Smith"/>
    <s v="Australia"/>
    <x v="2"/>
    <x v="1"/>
    <x v="2"/>
    <n v="183"/>
    <n v="28.17"/>
    <n v="4.9000000000000004"/>
    <x v="121"/>
    <n v="5"/>
    <n v="4"/>
    <n v="639.6"/>
    <n v="8.89"/>
    <n v="630.71"/>
  </r>
  <r>
    <s v="3FF4758C"/>
    <x v="124"/>
    <x v="7"/>
    <s v="CUST1795"/>
    <s v="David Smith"/>
    <s v="Qatar"/>
    <x v="8"/>
    <x v="4"/>
    <x v="0"/>
    <n v="3597"/>
    <n v="32.57"/>
    <n v="2.8"/>
    <x v="122"/>
    <n v="1"/>
    <n v="7"/>
    <n v="100.8"/>
    <n v="0.91"/>
    <n v="99.89"/>
  </r>
  <r>
    <s v="34616240"/>
    <x v="125"/>
    <x v="9"/>
    <s v="CUST3697"/>
    <s v="Emily Taylor"/>
    <s v="Australia"/>
    <x v="0"/>
    <x v="2"/>
    <x v="9"/>
    <n v="4416"/>
    <n v="34.380000000000003"/>
    <n v="3"/>
    <x v="123"/>
    <n v="3"/>
    <n v="1"/>
    <n v="52.14"/>
    <n v="6.09"/>
    <n v="46.05"/>
  </r>
  <r>
    <s v="9F87028F"/>
    <x v="126"/>
    <x v="6"/>
    <s v="CUST4858"/>
    <s v="Ravi Taylor"/>
    <s v="Philippines"/>
    <x v="7"/>
    <x v="3"/>
    <x v="7"/>
    <n v="4563"/>
    <n v="27.56"/>
    <n v="3.4"/>
    <x v="124"/>
    <n v="4"/>
    <n v="2"/>
    <n v="256.08"/>
    <n v="7.75"/>
    <n v="248.33"/>
  </r>
  <r>
    <s v="7A9C2A27"/>
    <x v="122"/>
    <x v="4"/>
    <s v="CUST8670"/>
    <s v="Emily Garcia"/>
    <s v="Qatar"/>
    <x v="2"/>
    <x v="3"/>
    <x v="0"/>
    <n v="892"/>
    <n v="45.48"/>
    <n v="2.2999999999999998"/>
    <x v="125"/>
    <n v="5"/>
    <n v="17"/>
    <n v="2720"/>
    <n v="2.4"/>
    <n v="2717.6"/>
  </r>
  <r>
    <s v="071FE06A"/>
    <x v="127"/>
    <x v="6"/>
    <s v="CUST6790"/>
    <s v="John Garcia"/>
    <s v="Philippines"/>
    <x v="8"/>
    <x v="2"/>
    <x v="7"/>
    <n v="138"/>
    <n v="25.46"/>
    <n v="1.7"/>
    <x v="126"/>
    <n v="5"/>
    <n v="12"/>
    <n v="1392"/>
    <n v="7.67"/>
    <n v="1384.33"/>
  </r>
  <r>
    <s v="24934BC1"/>
    <x v="128"/>
    <x v="0"/>
    <s v="CUST2859"/>
    <s v="John Lee"/>
    <s v="South Africa"/>
    <x v="4"/>
    <x v="0"/>
    <x v="5"/>
    <n v="3901"/>
    <n v="32.700000000000003"/>
    <n v="4.3"/>
    <x v="127"/>
    <n v="1"/>
    <n v="15"/>
    <n v="449.25"/>
    <n v="5.7"/>
    <n v="443.55"/>
  </r>
  <r>
    <s v="FBEF530B"/>
    <x v="129"/>
    <x v="2"/>
    <s v="CUST7650"/>
    <s v="Ahmed Brown"/>
    <s v="Canada"/>
    <x v="7"/>
    <x v="1"/>
    <x v="1"/>
    <n v="4413"/>
    <n v="34.79"/>
    <n v="2.6"/>
    <x v="128"/>
    <n v="2"/>
    <n v="1"/>
    <n v="30.22"/>
    <n v="4.1500000000000004"/>
    <n v="26.07"/>
  </r>
  <r>
    <s v="022557EE"/>
    <x v="130"/>
    <x v="5"/>
    <s v="CUST4882"/>
    <s v="Priya Khan"/>
    <s v="Qatar"/>
    <x v="8"/>
    <x v="2"/>
    <x v="6"/>
    <n v="1012"/>
    <n v="26.97"/>
    <n v="1.7"/>
    <x v="129"/>
    <n v="4"/>
    <n v="18"/>
    <n v="2226.2400000000002"/>
    <n v="5.25"/>
    <n v="2220.9899999999998"/>
  </r>
  <r>
    <s v="8FB2AA34"/>
    <x v="131"/>
    <x v="9"/>
    <s v="CUST7997"/>
    <s v="Sara Singh"/>
    <s v="India"/>
    <x v="1"/>
    <x v="2"/>
    <x v="4"/>
    <n v="4732"/>
    <n v="22.65"/>
    <n v="4.9000000000000004"/>
    <x v="108"/>
    <n v="3"/>
    <n v="20"/>
    <n v="1278"/>
    <n v="3.87"/>
    <n v="1274.1300000000001"/>
  </r>
  <r>
    <s v="1B61C53B"/>
    <x v="132"/>
    <x v="7"/>
    <s v="CUST5813"/>
    <s v="David Smith"/>
    <s v="Canada"/>
    <x v="3"/>
    <x v="4"/>
    <x v="10"/>
    <n v="285"/>
    <n v="37.340000000000003"/>
    <n v="3.8"/>
    <x v="130"/>
    <n v="2"/>
    <n v="1"/>
    <n v="38.200000000000003"/>
    <n v="0.8"/>
    <n v="37.4"/>
  </r>
  <r>
    <s v="B5124DEC"/>
    <x v="133"/>
    <x v="6"/>
    <s v="CUST5278"/>
    <s v="Ravi Singh"/>
    <s v="Canada"/>
    <x v="1"/>
    <x v="1"/>
    <x v="0"/>
    <n v="1724"/>
    <n v="37.69"/>
    <n v="2.7"/>
    <x v="131"/>
    <n v="4"/>
    <n v="15"/>
    <n v="1207.2"/>
    <n v="7.45"/>
    <n v="1199.75"/>
  </r>
  <r>
    <s v="A30F208E"/>
    <x v="134"/>
    <x v="8"/>
    <s v="CUST4096"/>
    <s v="Anita Taylor"/>
    <s v="Brazil"/>
    <x v="2"/>
    <x v="2"/>
    <x v="5"/>
    <n v="621"/>
    <n v="16.53"/>
    <n v="4.8"/>
    <x v="132"/>
    <n v="1"/>
    <n v="4"/>
    <n v="125.8"/>
    <n v="1.58"/>
    <n v="124.22"/>
  </r>
  <r>
    <s v="D157A3D3"/>
    <x v="135"/>
    <x v="0"/>
    <s v="CUST4089"/>
    <s v="Emily Taylor"/>
    <s v="India"/>
    <x v="4"/>
    <x v="0"/>
    <x v="2"/>
    <n v="1968"/>
    <n v="19.149999999999999"/>
    <n v="2.9"/>
    <x v="133"/>
    <n v="5"/>
    <n v="19"/>
    <n v="3552.0499999999997"/>
    <n v="7.63"/>
    <n v="3544.42"/>
  </r>
  <r>
    <s v="21C13757"/>
    <x v="136"/>
    <x v="2"/>
    <s v="CUST3076"/>
    <s v="Anita Sharma"/>
    <s v="Singapore"/>
    <x v="4"/>
    <x v="3"/>
    <x v="2"/>
    <n v="3247"/>
    <n v="26.96"/>
    <n v="1.6"/>
    <x v="134"/>
    <n v="1"/>
    <n v="4"/>
    <n v="85.64"/>
    <n v="7.08"/>
    <n v="78.56"/>
  </r>
  <r>
    <s v="306F15D5"/>
    <x v="137"/>
    <x v="3"/>
    <s v="CUST7009"/>
    <s v="Ravi Singh"/>
    <s v="Singapore"/>
    <x v="3"/>
    <x v="0"/>
    <x v="10"/>
    <n v="2455"/>
    <n v="33.51"/>
    <n v="1.7"/>
    <x v="135"/>
    <n v="1"/>
    <n v="12"/>
    <n v="77.64"/>
    <n v="9.48"/>
    <n v="68.16"/>
  </r>
  <r>
    <s v="AFE91F25"/>
    <x v="138"/>
    <x v="9"/>
    <s v="CUST7498"/>
    <s v="Emily Patel"/>
    <s v="Brazil"/>
    <x v="2"/>
    <x v="1"/>
    <x v="5"/>
    <n v="1776"/>
    <n v="42.12"/>
    <n v="4.5999999999999996"/>
    <x v="136"/>
    <n v="4"/>
    <n v="16"/>
    <n v="738.56"/>
    <n v="1.39"/>
    <n v="737.17"/>
  </r>
  <r>
    <s v="8C377463"/>
    <x v="139"/>
    <x v="3"/>
    <s v="CUST1742"/>
    <s v="Priya Brown"/>
    <s v="Philippines"/>
    <x v="6"/>
    <x v="0"/>
    <x v="7"/>
    <n v="1388"/>
    <n v="39.630000000000003"/>
    <n v="3.4"/>
    <x v="137"/>
    <n v="5"/>
    <n v="17"/>
    <n v="2978.3999999999996"/>
    <n v="6.72"/>
    <n v="2971.68"/>
  </r>
  <r>
    <s v="3FD1888F"/>
    <x v="140"/>
    <x v="8"/>
    <s v="CUST2334"/>
    <s v="Ravi Khan"/>
    <s v="Canada"/>
    <x v="4"/>
    <x v="4"/>
    <x v="9"/>
    <n v="72"/>
    <n v="23.99"/>
    <n v="4.2"/>
    <x v="138"/>
    <n v="5"/>
    <n v="14"/>
    <n v="798"/>
    <n v="6.13"/>
    <n v="791.87"/>
  </r>
  <r>
    <s v="9E04F377"/>
    <x v="141"/>
    <x v="2"/>
    <s v="CUST5047"/>
    <s v="Priya Lee"/>
    <s v="Singapore"/>
    <x v="5"/>
    <x v="2"/>
    <x v="1"/>
    <n v="3582"/>
    <n v="15.15"/>
    <n v="3.1"/>
    <x v="139"/>
    <n v="1"/>
    <n v="18"/>
    <n v="687.78"/>
    <n v="7.77"/>
    <n v="680.01"/>
  </r>
  <r>
    <s v="D22E4916"/>
    <x v="142"/>
    <x v="6"/>
    <s v="CUST6914"/>
    <s v="Kumar Khan"/>
    <s v="Qatar"/>
    <x v="2"/>
    <x v="1"/>
    <x v="6"/>
    <n v="4665"/>
    <n v="36.549999999999997"/>
    <n v="1.5"/>
    <x v="140"/>
    <n v="2"/>
    <n v="9"/>
    <n v="199.98"/>
    <n v="0.31"/>
    <n v="199.67"/>
  </r>
  <r>
    <s v="CEE8A22D"/>
    <x v="143"/>
    <x v="2"/>
    <s v="CUST6956"/>
    <s v="Kumar Smith"/>
    <s v="New Zealand"/>
    <x v="6"/>
    <x v="3"/>
    <x v="10"/>
    <n v="2602"/>
    <n v="34.409999999999997"/>
    <n v="2.8"/>
    <x v="141"/>
    <n v="2"/>
    <n v="18"/>
    <n v="704.16"/>
    <n v="6.9"/>
    <n v="697.26"/>
  </r>
  <r>
    <s v="D2F708BC"/>
    <x v="144"/>
    <x v="2"/>
    <s v="CUST9113"/>
    <s v="Kumar Garcia"/>
    <s v="Brazil"/>
    <x v="5"/>
    <x v="2"/>
    <x v="12"/>
    <n v="1020"/>
    <n v="25.14"/>
    <n v="4.3"/>
    <x v="142"/>
    <n v="3"/>
    <n v="8"/>
    <n v="484.08000000000004"/>
    <n v="9.93"/>
    <n v="474.15"/>
  </r>
  <r>
    <s v="B810D6C3"/>
    <x v="145"/>
    <x v="3"/>
    <s v="CUST1156"/>
    <s v="Priya Smith"/>
    <s v="India"/>
    <x v="1"/>
    <x v="4"/>
    <x v="2"/>
    <n v="2288"/>
    <n v="16.350000000000001"/>
    <n v="1.7"/>
    <x v="143"/>
    <n v="1"/>
    <n v="16"/>
    <n v="367.52"/>
    <n v="4.45"/>
    <n v="363.07"/>
  </r>
  <r>
    <s v="CC9480FB"/>
    <x v="146"/>
    <x v="8"/>
    <s v="CUST7589"/>
    <s v="Ahmed Patel"/>
    <s v="Brazil"/>
    <x v="7"/>
    <x v="4"/>
    <x v="3"/>
    <n v="2839"/>
    <n v="27.04"/>
    <n v="4.0999999999999996"/>
    <x v="144"/>
    <n v="1"/>
    <n v="18"/>
    <n v="139.85999999999999"/>
    <n v="0.82"/>
    <n v="139.04"/>
  </r>
  <r>
    <s v="0E3D1738"/>
    <x v="147"/>
    <x v="9"/>
    <s v="CUST7246"/>
    <s v="Ahmed Lee"/>
    <s v="Philippines"/>
    <x v="2"/>
    <x v="1"/>
    <x v="4"/>
    <n v="4491"/>
    <n v="7.82"/>
    <n v="3.3"/>
    <x v="145"/>
    <n v="5"/>
    <n v="14"/>
    <n v="1536.5"/>
    <n v="7.48"/>
    <n v="1529.02"/>
  </r>
  <r>
    <s v="976446A4"/>
    <x v="148"/>
    <x v="4"/>
    <s v="CUST9898"/>
    <s v="David Sharma"/>
    <s v="Indonesia"/>
    <x v="8"/>
    <x v="2"/>
    <x v="7"/>
    <n v="748"/>
    <n v="17.98"/>
    <n v="4.5"/>
    <x v="146"/>
    <n v="2"/>
    <n v="17"/>
    <n v="191.76"/>
    <n v="6.26"/>
    <n v="185.5"/>
  </r>
  <r>
    <s v="5B2BD074"/>
    <x v="149"/>
    <x v="1"/>
    <s v="CUST9542"/>
    <s v="Ahmed Brown"/>
    <s v="Indonesia"/>
    <x v="2"/>
    <x v="0"/>
    <x v="13"/>
    <n v="2525"/>
    <n v="49.56"/>
    <n v="3"/>
    <x v="147"/>
    <n v="3"/>
    <n v="4"/>
    <n v="221.39999999999998"/>
    <n v="5.78"/>
    <n v="215.62"/>
  </r>
  <r>
    <s v="F24D9EC0"/>
    <x v="150"/>
    <x v="3"/>
    <s v="CUST4485"/>
    <s v="David Garcia"/>
    <s v="New Zealand"/>
    <x v="7"/>
    <x v="3"/>
    <x v="6"/>
    <n v="1461"/>
    <n v="7.96"/>
    <n v="4"/>
    <x v="148"/>
    <n v="4"/>
    <n v="9"/>
    <n v="915.48"/>
    <n v="8.4"/>
    <n v="907.08"/>
  </r>
  <r>
    <s v="F73B82A9"/>
    <x v="151"/>
    <x v="7"/>
    <s v="CUST4428"/>
    <s v="Priya Patel"/>
    <s v="Brazil"/>
    <x v="4"/>
    <x v="0"/>
    <x v="5"/>
    <n v="4184"/>
    <n v="18.989999999999998"/>
    <n v="1.2"/>
    <x v="149"/>
    <n v="1"/>
    <n v="14"/>
    <n v="424.76"/>
    <n v="2.0299999999999998"/>
    <n v="422.73"/>
  </r>
  <r>
    <s v="5D3DCD6F"/>
    <x v="152"/>
    <x v="2"/>
    <s v="CUST8764"/>
    <s v="Sophia Das"/>
    <s v="South Africa"/>
    <x v="4"/>
    <x v="3"/>
    <x v="3"/>
    <n v="4736"/>
    <n v="31.79"/>
    <n v="1.3"/>
    <x v="150"/>
    <n v="1"/>
    <n v="7"/>
    <n v="83.93"/>
    <n v="1.98"/>
    <n v="81.95"/>
  </r>
  <r>
    <s v="F3927C35"/>
    <x v="153"/>
    <x v="9"/>
    <s v="CUST2835"/>
    <s v="Kumar Sharma"/>
    <s v="Philippines"/>
    <x v="1"/>
    <x v="2"/>
    <x v="2"/>
    <n v="976"/>
    <n v="13.74"/>
    <n v="2"/>
    <x v="151"/>
    <n v="4"/>
    <n v="9"/>
    <n v="396.71999999999997"/>
    <n v="0.68"/>
    <n v="396.04"/>
  </r>
  <r>
    <s v="164A7299"/>
    <x v="154"/>
    <x v="8"/>
    <s v="CUST4149"/>
    <s v="Emily Khan"/>
    <s v="Philippines"/>
    <x v="4"/>
    <x v="1"/>
    <x v="1"/>
    <n v="2767"/>
    <n v="8.89"/>
    <n v="2.8"/>
    <x v="152"/>
    <n v="2"/>
    <n v="17"/>
    <n v="917.66"/>
    <n v="2.79"/>
    <n v="914.87"/>
  </r>
  <r>
    <s v="6B846FBF"/>
    <x v="155"/>
    <x v="8"/>
    <s v="CUST9014"/>
    <s v="Priya Das"/>
    <s v="Brazil"/>
    <x v="5"/>
    <x v="1"/>
    <x v="6"/>
    <n v="3803"/>
    <n v="38.25"/>
    <n v="4.2"/>
    <x v="153"/>
    <n v="3"/>
    <n v="7"/>
    <n v="816.69"/>
    <n v="7.83"/>
    <n v="808.86"/>
  </r>
  <r>
    <s v="5CBEE46E"/>
    <x v="137"/>
    <x v="2"/>
    <s v="CUST2376"/>
    <s v="Sophia Singh"/>
    <s v="Qatar"/>
    <x v="6"/>
    <x v="2"/>
    <x v="14"/>
    <n v="3660"/>
    <n v="28.61"/>
    <n v="4.2"/>
    <x v="154"/>
    <n v="4"/>
    <n v="20"/>
    <n v="559.20000000000005"/>
    <n v="5.56"/>
    <n v="553.64"/>
  </r>
  <r>
    <s v="E8DF7F19"/>
    <x v="156"/>
    <x v="0"/>
    <s v="CUST6049"/>
    <s v="Ahmed Singh"/>
    <s v="Canada"/>
    <x v="8"/>
    <x v="4"/>
    <x v="4"/>
    <n v="201"/>
    <n v="31.71"/>
    <n v="4.5999999999999996"/>
    <x v="155"/>
    <n v="5"/>
    <n v="19"/>
    <n v="1775.55"/>
    <n v="4.1500000000000004"/>
    <n v="1771.4"/>
  </r>
  <r>
    <s v="822C87E4"/>
    <x v="157"/>
    <x v="7"/>
    <s v="CUST8495"/>
    <s v="Emily Garcia"/>
    <s v="Indonesia"/>
    <x v="4"/>
    <x v="3"/>
    <x v="8"/>
    <n v="1583"/>
    <n v="15.09"/>
    <n v="2.2000000000000002"/>
    <x v="156"/>
    <n v="4"/>
    <n v="8"/>
    <n v="905.92"/>
    <n v="0.64"/>
    <n v="905.28"/>
  </r>
  <r>
    <s v="6798D0C6"/>
    <x v="158"/>
    <x v="2"/>
    <s v="CUST2472"/>
    <s v="Ahmed Lee"/>
    <s v="Qatar"/>
    <x v="5"/>
    <x v="3"/>
    <x v="3"/>
    <n v="946"/>
    <n v="10.33"/>
    <n v="2.9"/>
    <x v="157"/>
    <n v="5"/>
    <n v="10"/>
    <n v="593"/>
    <n v="9.11"/>
    <n v="583.89"/>
  </r>
  <r>
    <s v="E840D131"/>
    <x v="19"/>
    <x v="3"/>
    <s v="CUST7336"/>
    <s v="Ahmed Lee"/>
    <s v="Philippines"/>
    <x v="8"/>
    <x v="4"/>
    <x v="2"/>
    <n v="2250"/>
    <n v="25.33"/>
    <n v="1.6"/>
    <x v="158"/>
    <n v="3"/>
    <n v="9"/>
    <n v="913.1400000000001"/>
    <n v="1.5"/>
    <n v="911.64"/>
  </r>
  <r>
    <s v="F973BC7E"/>
    <x v="159"/>
    <x v="1"/>
    <s v="CUST7761"/>
    <s v="Kumar Khan"/>
    <s v="India"/>
    <x v="2"/>
    <x v="0"/>
    <x v="2"/>
    <n v="1842"/>
    <n v="10.98"/>
    <n v="2.8"/>
    <x v="159"/>
    <n v="3"/>
    <n v="18"/>
    <n v="396.36"/>
    <n v="6.82"/>
    <n v="389.54"/>
  </r>
  <r>
    <s v="465832CB"/>
    <x v="160"/>
    <x v="2"/>
    <s v="CUST2145"/>
    <s v="David Smith"/>
    <s v="Australia"/>
    <x v="2"/>
    <x v="4"/>
    <x v="3"/>
    <n v="935"/>
    <n v="39.94"/>
    <n v="2.1"/>
    <x v="160"/>
    <n v="1"/>
    <n v="13"/>
    <n v="313.82"/>
    <n v="2.11"/>
    <n v="311.70999999999998"/>
  </r>
  <r>
    <s v="63917C69"/>
    <x v="161"/>
    <x v="3"/>
    <s v="CUST9128"/>
    <s v="Emily Taylor"/>
    <s v="Australia"/>
    <x v="3"/>
    <x v="4"/>
    <x v="5"/>
    <n v="764"/>
    <n v="17.62"/>
    <n v="4.7"/>
    <x v="161"/>
    <n v="4"/>
    <n v="9"/>
    <n v="1422"/>
    <n v="5.98"/>
    <n v="1416.02"/>
  </r>
  <r>
    <s v="D0F57EF1"/>
    <x v="162"/>
    <x v="2"/>
    <s v="CUST8657"/>
    <s v="Anita Brown"/>
    <s v="Qatar"/>
    <x v="5"/>
    <x v="2"/>
    <x v="10"/>
    <n v="2638"/>
    <n v="41.01"/>
    <n v="3.8"/>
    <x v="162"/>
    <n v="5"/>
    <n v="7"/>
    <n v="655.19999999999993"/>
    <n v="8.2799999999999994"/>
    <n v="646.91999999999996"/>
  </r>
  <r>
    <s v="EEC1EF24"/>
    <x v="163"/>
    <x v="0"/>
    <s v="CUST2177"/>
    <s v="Kumar Smith"/>
    <s v="Canada"/>
    <x v="1"/>
    <x v="4"/>
    <x v="3"/>
    <n v="630"/>
    <n v="27.79"/>
    <n v="3.7"/>
    <x v="109"/>
    <n v="5"/>
    <n v="9"/>
    <n v="543.6"/>
    <n v="4.8499999999999996"/>
    <n v="538.75"/>
  </r>
  <r>
    <s v="37F4FAA7"/>
    <x v="164"/>
    <x v="5"/>
    <s v="CUST2926"/>
    <s v="Sara Das"/>
    <s v="India"/>
    <x v="4"/>
    <x v="3"/>
    <x v="12"/>
    <n v="559"/>
    <n v="17.829999999999998"/>
    <n v="4.5"/>
    <x v="163"/>
    <n v="5"/>
    <n v="17"/>
    <n v="1873.3999999999999"/>
    <n v="2.5499999999999998"/>
    <n v="1870.85"/>
  </r>
  <r>
    <s v="53C5A054"/>
    <x v="165"/>
    <x v="5"/>
    <s v="CUST7157"/>
    <s v="Ahmed Sharma"/>
    <s v="New Zealand"/>
    <x v="8"/>
    <x v="2"/>
    <x v="10"/>
    <n v="3852"/>
    <n v="26.63"/>
    <n v="1.2"/>
    <x v="164"/>
    <n v="2"/>
    <n v="12"/>
    <n v="401.76"/>
    <n v="4.13"/>
    <n v="397.63"/>
  </r>
  <r>
    <s v="C442DF23"/>
    <x v="166"/>
    <x v="6"/>
    <s v="CUST5480"/>
    <s v="Priya Smith"/>
    <s v="South Africa"/>
    <x v="6"/>
    <x v="1"/>
    <x v="3"/>
    <n v="4666"/>
    <n v="48.76"/>
    <n v="3.3"/>
    <x v="165"/>
    <n v="2"/>
    <n v="20"/>
    <n v="515.20000000000005"/>
    <n v="2.98"/>
    <n v="512.22"/>
  </r>
  <r>
    <s v="58AD6559"/>
    <x v="167"/>
    <x v="1"/>
    <s v="CUST6546"/>
    <s v="Sara Brown"/>
    <s v="Philippines"/>
    <x v="5"/>
    <x v="1"/>
    <x v="12"/>
    <n v="2621"/>
    <n v="11.38"/>
    <n v="1.6"/>
    <x v="166"/>
    <n v="5"/>
    <n v="1"/>
    <n v="76.849999999999994"/>
    <n v="0.52"/>
    <n v="76.33"/>
  </r>
  <r>
    <s v="5D2A3818"/>
    <x v="168"/>
    <x v="2"/>
    <s v="CUST5343"/>
    <s v="Sara Garcia"/>
    <s v="Canada"/>
    <x v="3"/>
    <x v="0"/>
    <x v="1"/>
    <n v="230"/>
    <n v="7.75"/>
    <n v="4.7"/>
    <x v="167"/>
    <n v="2"/>
    <n v="10"/>
    <n v="222.39999999999998"/>
    <n v="8.65"/>
    <n v="213.75"/>
  </r>
  <r>
    <s v="62A78ADA"/>
    <x v="164"/>
    <x v="2"/>
    <s v="CUST7439"/>
    <s v="Sara Lee"/>
    <s v="Singapore"/>
    <x v="7"/>
    <x v="1"/>
    <x v="12"/>
    <n v="2821"/>
    <n v="23.54"/>
    <n v="4.7"/>
    <x v="168"/>
    <n v="5"/>
    <n v="11"/>
    <n v="979"/>
    <n v="7.04"/>
    <n v="971.96"/>
  </r>
  <r>
    <s v="678D28CE"/>
    <x v="169"/>
    <x v="7"/>
    <s v="CUST2689"/>
    <s v="Ravi Sharma"/>
    <s v="Brazil"/>
    <x v="3"/>
    <x v="2"/>
    <x v="13"/>
    <n v="4350"/>
    <n v="43.38"/>
    <n v="3.1"/>
    <x v="169"/>
    <n v="2"/>
    <n v="12"/>
    <n v="523.68000000000006"/>
    <n v="5.42"/>
    <n v="518.26"/>
  </r>
  <r>
    <s v="CC74B51E"/>
    <x v="170"/>
    <x v="8"/>
    <s v="CUST3802"/>
    <s v="Sara Das"/>
    <s v="Philippines"/>
    <x v="3"/>
    <x v="0"/>
    <x v="13"/>
    <n v="4314"/>
    <n v="17.89"/>
    <n v="2.4"/>
    <x v="170"/>
    <n v="2"/>
    <n v="17"/>
    <n v="818.38"/>
    <n v="6.31"/>
    <n v="812.07"/>
  </r>
  <r>
    <s v="5F91C6F9"/>
    <x v="171"/>
    <x v="7"/>
    <s v="CUST4610"/>
    <s v="David Khan"/>
    <s v="South Africa"/>
    <x v="8"/>
    <x v="4"/>
    <x v="11"/>
    <n v="659"/>
    <n v="49.91"/>
    <n v="4.2"/>
    <x v="171"/>
    <n v="2"/>
    <n v="4"/>
    <n v="59.84"/>
    <n v="7.3"/>
    <n v="52.54"/>
  </r>
  <r>
    <s v="7272D005"/>
    <x v="172"/>
    <x v="6"/>
    <s v="CUST2465"/>
    <s v="Emily Singh"/>
    <s v="Australia"/>
    <x v="6"/>
    <x v="2"/>
    <x v="10"/>
    <n v="1125"/>
    <n v="36.82"/>
    <n v="4.7"/>
    <x v="8"/>
    <n v="5"/>
    <n v="12"/>
    <n v="630"/>
    <n v="3.47"/>
    <n v="626.53"/>
  </r>
  <r>
    <s v="8144AA63"/>
    <x v="173"/>
    <x v="9"/>
    <s v="CUST4497"/>
    <s v="Emily Lee"/>
    <s v="Qatar"/>
    <x v="6"/>
    <x v="1"/>
    <x v="13"/>
    <n v="339"/>
    <n v="6.85"/>
    <n v="2.4"/>
    <x v="172"/>
    <n v="3"/>
    <n v="16"/>
    <n v="317.28000000000003"/>
    <n v="1.53"/>
    <n v="315.75"/>
  </r>
  <r>
    <s v="A6650527"/>
    <x v="174"/>
    <x v="7"/>
    <s v="CUST1794"/>
    <s v="Sophia Smith"/>
    <s v="Philippines"/>
    <x v="2"/>
    <x v="3"/>
    <x v="3"/>
    <n v="482"/>
    <n v="21.67"/>
    <n v="2.5"/>
    <x v="173"/>
    <n v="5"/>
    <n v="18"/>
    <n v="3324.6"/>
    <n v="9.69"/>
    <n v="3314.91"/>
  </r>
  <r>
    <s v="43F349EE"/>
    <x v="175"/>
    <x v="8"/>
    <s v="CUST6493"/>
    <s v="Priya Garcia"/>
    <s v="Australia"/>
    <x v="8"/>
    <x v="4"/>
    <x v="4"/>
    <n v="1423"/>
    <n v="38.79"/>
    <n v="3.1"/>
    <x v="174"/>
    <n v="3"/>
    <n v="19"/>
    <n v="1138.8599999999999"/>
    <n v="7.25"/>
    <n v="1131.6099999999999"/>
  </r>
  <r>
    <s v="7F6D43F6"/>
    <x v="176"/>
    <x v="6"/>
    <s v="CUST2252"/>
    <s v="Anita Smith"/>
    <s v="India"/>
    <x v="7"/>
    <x v="4"/>
    <x v="12"/>
    <n v="4031"/>
    <n v="15.69"/>
    <n v="2.5"/>
    <x v="175"/>
    <n v="5"/>
    <n v="18"/>
    <n v="3100.5"/>
    <n v="2.68"/>
    <n v="3097.82"/>
  </r>
  <r>
    <s v="8231C1E3"/>
    <x v="177"/>
    <x v="4"/>
    <s v="CUST6394"/>
    <s v="Priya Patel"/>
    <s v="South Africa"/>
    <x v="3"/>
    <x v="4"/>
    <x v="12"/>
    <n v="80"/>
    <n v="28.74"/>
    <n v="2.2000000000000002"/>
    <x v="176"/>
    <n v="3"/>
    <n v="19"/>
    <n v="1114.3500000000001"/>
    <n v="6.69"/>
    <n v="1107.6600000000001"/>
  </r>
  <r>
    <s v="123BAEC6"/>
    <x v="178"/>
    <x v="0"/>
    <s v="CUST1840"/>
    <s v="David Singh"/>
    <s v="New Zealand"/>
    <x v="0"/>
    <x v="4"/>
    <x v="6"/>
    <n v="4818"/>
    <n v="33.659999999999997"/>
    <n v="3.8"/>
    <x v="177"/>
    <n v="5"/>
    <n v="16"/>
    <n v="2292.8000000000002"/>
    <n v="0.98"/>
    <n v="2291.8200000000002"/>
  </r>
  <r>
    <s v="07C963AD"/>
    <x v="179"/>
    <x v="4"/>
    <s v="CUST8037"/>
    <s v="Ravi Khan"/>
    <s v="India"/>
    <x v="2"/>
    <x v="0"/>
    <x v="2"/>
    <n v="1403"/>
    <n v="6.14"/>
    <n v="2.6"/>
    <x v="178"/>
    <n v="5"/>
    <n v="5"/>
    <n v="942.25"/>
    <n v="4.71"/>
    <n v="937.54"/>
  </r>
  <r>
    <s v="3BF90220"/>
    <x v="180"/>
    <x v="8"/>
    <s v="CUST2120"/>
    <s v="John Patel"/>
    <s v="Canada"/>
    <x v="7"/>
    <x v="0"/>
    <x v="9"/>
    <n v="238"/>
    <n v="38.47"/>
    <n v="2.6"/>
    <x v="179"/>
    <n v="2"/>
    <n v="1"/>
    <n v="23.18"/>
    <n v="0.96"/>
    <n v="22.22"/>
  </r>
  <r>
    <s v="328C870C"/>
    <x v="181"/>
    <x v="8"/>
    <s v="CUST3984"/>
    <s v="Ahmed Das"/>
    <s v="Brazil"/>
    <x v="8"/>
    <x v="0"/>
    <x v="6"/>
    <n v="1654"/>
    <n v="9.59"/>
    <n v="2.5"/>
    <x v="180"/>
    <n v="2"/>
    <n v="10"/>
    <n v="704.2"/>
    <n v="0.26"/>
    <n v="703.94"/>
  </r>
  <r>
    <s v="4B8C9E94"/>
    <x v="182"/>
    <x v="1"/>
    <s v="CUST3885"/>
    <s v="Sophia Garcia"/>
    <s v="Singapore"/>
    <x v="3"/>
    <x v="4"/>
    <x v="14"/>
    <n v="4296"/>
    <n v="16.59"/>
    <n v="2"/>
    <x v="181"/>
    <n v="5"/>
    <n v="8"/>
    <n v="960.8"/>
    <n v="6.2"/>
    <n v="954.6"/>
  </r>
  <r>
    <s v="596867A1"/>
    <x v="183"/>
    <x v="7"/>
    <s v="CUST1487"/>
    <s v="Kumar Singh"/>
    <s v="Brazil"/>
    <x v="2"/>
    <x v="1"/>
    <x v="1"/>
    <n v="1818"/>
    <n v="6.48"/>
    <n v="2.9"/>
    <x v="182"/>
    <n v="1"/>
    <n v="9"/>
    <n v="193.85999999999999"/>
    <n v="0.51"/>
    <n v="193.35"/>
  </r>
  <r>
    <s v="E8129395"/>
    <x v="184"/>
    <x v="0"/>
    <s v="CUST2502"/>
    <s v="David Sharma"/>
    <s v="Brazil"/>
    <x v="7"/>
    <x v="3"/>
    <x v="2"/>
    <n v="3880"/>
    <n v="24.73"/>
    <n v="3.6"/>
    <x v="183"/>
    <n v="4"/>
    <n v="10"/>
    <n v="512.4"/>
    <n v="5.79"/>
    <n v="506.61"/>
  </r>
  <r>
    <s v="F7594EA4"/>
    <x v="185"/>
    <x v="7"/>
    <s v="CUST1817"/>
    <s v="David Khan"/>
    <s v="Singapore"/>
    <x v="8"/>
    <x v="1"/>
    <x v="9"/>
    <n v="1126"/>
    <n v="35.18"/>
    <n v="3"/>
    <x v="28"/>
    <n v="2"/>
    <n v="13"/>
    <n v="656.76"/>
    <n v="4"/>
    <n v="652.76"/>
  </r>
  <r>
    <s v="D8263C47"/>
    <x v="186"/>
    <x v="8"/>
    <s v="CUST5781"/>
    <s v="Sara Lee"/>
    <s v="India"/>
    <x v="8"/>
    <x v="2"/>
    <x v="3"/>
    <n v="139"/>
    <n v="15.24"/>
    <n v="3.6"/>
    <x v="184"/>
    <n v="3"/>
    <n v="17"/>
    <n v="780.81"/>
    <n v="4.24"/>
    <n v="776.57"/>
  </r>
  <r>
    <s v="E84C5A0A"/>
    <x v="187"/>
    <x v="6"/>
    <s v="CUST5771"/>
    <s v="John Khan"/>
    <s v="Australia"/>
    <x v="0"/>
    <x v="3"/>
    <x v="11"/>
    <n v="293"/>
    <n v="49.61"/>
    <n v="3.3"/>
    <x v="185"/>
    <n v="1"/>
    <n v="9"/>
    <n v="127.44"/>
    <n v="0.95"/>
    <n v="126.49"/>
  </r>
  <r>
    <s v="3FCF444D"/>
    <x v="133"/>
    <x v="2"/>
    <s v="CUST2992"/>
    <s v="John Khan"/>
    <s v="New Zealand"/>
    <x v="7"/>
    <x v="1"/>
    <x v="5"/>
    <n v="4158"/>
    <n v="45.54"/>
    <n v="1.7"/>
    <x v="186"/>
    <n v="5"/>
    <n v="8"/>
    <n v="319.20000000000005"/>
    <n v="1.31"/>
    <n v="317.89"/>
  </r>
  <r>
    <s v="281E17F0"/>
    <x v="188"/>
    <x v="4"/>
    <s v="CUST5882"/>
    <s v="David Lee"/>
    <s v="Philippines"/>
    <x v="2"/>
    <x v="0"/>
    <x v="6"/>
    <n v="1921"/>
    <n v="14.05"/>
    <n v="3"/>
    <x v="187"/>
    <n v="2"/>
    <n v="3"/>
    <n v="193.02"/>
    <n v="1.36"/>
    <n v="191.66"/>
  </r>
  <r>
    <s v="D57BD971"/>
    <x v="189"/>
    <x v="8"/>
    <s v="CUST8950"/>
    <s v="Sophia Sharma"/>
    <s v="New Zealand"/>
    <x v="4"/>
    <x v="2"/>
    <x v="1"/>
    <n v="2466"/>
    <n v="34.76"/>
    <n v="3.6"/>
    <x v="188"/>
    <n v="3"/>
    <n v="6"/>
    <n v="329.57999999999993"/>
    <n v="9.14"/>
    <n v="320.44"/>
  </r>
  <r>
    <s v="49213156"/>
    <x v="190"/>
    <x v="0"/>
    <s v="CUST3576"/>
    <s v="John Das"/>
    <s v="Canada"/>
    <x v="8"/>
    <x v="3"/>
    <x v="7"/>
    <n v="4492"/>
    <n v="47.27"/>
    <n v="1.2"/>
    <x v="189"/>
    <n v="1"/>
    <n v="15"/>
    <n v="368.85"/>
    <n v="4.12"/>
    <n v="364.73"/>
  </r>
  <r>
    <s v="E621D5FD"/>
    <x v="191"/>
    <x v="6"/>
    <s v="CUST5268"/>
    <s v="John Smith"/>
    <s v="Canada"/>
    <x v="2"/>
    <x v="3"/>
    <x v="1"/>
    <n v="1230"/>
    <n v="18.170000000000002"/>
    <n v="3.4"/>
    <x v="190"/>
    <n v="2"/>
    <n v="15"/>
    <n v="803.40000000000009"/>
    <n v="8.86"/>
    <n v="794.54"/>
  </r>
  <r>
    <s v="18A21C49"/>
    <x v="192"/>
    <x v="3"/>
    <s v="CUST4575"/>
    <s v="Priya Taylor"/>
    <s v="India"/>
    <x v="2"/>
    <x v="2"/>
    <x v="3"/>
    <n v="3520"/>
    <n v="30.4"/>
    <n v="3.2"/>
    <x v="61"/>
    <n v="5"/>
    <n v="11"/>
    <n v="1615.35"/>
    <n v="6.62"/>
    <n v="1608.73"/>
  </r>
  <r>
    <s v="ECC01213"/>
    <x v="193"/>
    <x v="6"/>
    <s v="CUST2085"/>
    <s v="David Brown"/>
    <s v="Indonesia"/>
    <x v="3"/>
    <x v="2"/>
    <x v="0"/>
    <n v="1399"/>
    <n v="26.91"/>
    <n v="4.7"/>
    <x v="191"/>
    <n v="4"/>
    <n v="3"/>
    <n v="324.24"/>
    <n v="3.22"/>
    <n v="321.02"/>
  </r>
  <r>
    <s v="A3C32BDE"/>
    <x v="194"/>
    <x v="3"/>
    <s v="CUST2970"/>
    <s v="Anita Khan"/>
    <s v="Philippines"/>
    <x v="3"/>
    <x v="1"/>
    <x v="8"/>
    <n v="3202"/>
    <n v="23.59"/>
    <n v="4.4000000000000004"/>
    <x v="192"/>
    <n v="3"/>
    <n v="4"/>
    <n v="474.59999999999997"/>
    <n v="3.71"/>
    <n v="470.89"/>
  </r>
  <r>
    <s v="F697184A"/>
    <x v="195"/>
    <x v="5"/>
    <s v="CUST5027"/>
    <s v="Ravi Smith"/>
    <s v="Canada"/>
    <x v="7"/>
    <x v="3"/>
    <x v="1"/>
    <n v="3825"/>
    <n v="18.989999999999998"/>
    <n v="4.2"/>
    <x v="193"/>
    <n v="1"/>
    <n v="10"/>
    <n v="106.8"/>
    <n v="7.93"/>
    <n v="98.87"/>
  </r>
  <r>
    <s v="54637D1F"/>
    <x v="196"/>
    <x v="4"/>
    <s v="CUST4202"/>
    <s v="Ahmed Das"/>
    <s v="South Africa"/>
    <x v="6"/>
    <x v="2"/>
    <x v="12"/>
    <n v="4906"/>
    <n v="17.010000000000002"/>
    <n v="2.9"/>
    <x v="194"/>
    <n v="4"/>
    <n v="10"/>
    <n v="1338.8"/>
    <n v="8.8000000000000007"/>
    <n v="1330"/>
  </r>
  <r>
    <s v="10C136D7"/>
    <x v="197"/>
    <x v="5"/>
    <s v="CUST1961"/>
    <s v="Anita Smith"/>
    <s v="Brazil"/>
    <x v="2"/>
    <x v="4"/>
    <x v="0"/>
    <n v="4873"/>
    <n v="18.309999999999999"/>
    <n v="2.2000000000000002"/>
    <x v="195"/>
    <n v="4"/>
    <n v="7"/>
    <n v="1081.6400000000001"/>
    <n v="9.36"/>
    <n v="1072.28"/>
  </r>
  <r>
    <s v="411C25C5"/>
    <x v="198"/>
    <x v="6"/>
    <s v="CUST8111"/>
    <s v="Priya Lee"/>
    <s v="Brazil"/>
    <x v="5"/>
    <x v="1"/>
    <x v="3"/>
    <n v="1856"/>
    <n v="49.52"/>
    <n v="3.4"/>
    <x v="196"/>
    <n v="4"/>
    <n v="3"/>
    <n v="89.28"/>
    <n v="9.94"/>
    <n v="79.34"/>
  </r>
  <r>
    <s v="2930804D"/>
    <x v="199"/>
    <x v="8"/>
    <s v="CUST5497"/>
    <s v="Sara Singh"/>
    <s v="Australia"/>
    <x v="7"/>
    <x v="4"/>
    <x v="13"/>
    <n v="893"/>
    <n v="15.46"/>
    <n v="3.5"/>
    <x v="197"/>
    <n v="4"/>
    <n v="14"/>
    <n v="958.72"/>
    <n v="1.1100000000000001"/>
    <n v="957.61"/>
  </r>
  <r>
    <s v="8E93119D"/>
    <x v="200"/>
    <x v="8"/>
    <s v="CUST9981"/>
    <s v="Ravi Taylor"/>
    <s v="Canada"/>
    <x v="3"/>
    <x v="3"/>
    <x v="7"/>
    <n v="2116"/>
    <n v="44.49"/>
    <n v="4.7"/>
    <x v="198"/>
    <n v="5"/>
    <n v="2"/>
    <n v="73.8"/>
    <n v="7.19"/>
    <n v="66.61"/>
  </r>
  <r>
    <s v="A72AC8B4"/>
    <x v="201"/>
    <x v="9"/>
    <s v="CUST8607"/>
    <s v="John Das"/>
    <s v="New Zealand"/>
    <x v="7"/>
    <x v="4"/>
    <x v="11"/>
    <n v="2810"/>
    <n v="24.15"/>
    <n v="3"/>
    <x v="199"/>
    <n v="1"/>
    <n v="1"/>
    <n v="12.47"/>
    <n v="7.82"/>
    <n v="4.6500000000000004"/>
  </r>
  <r>
    <s v="23B042F9"/>
    <x v="202"/>
    <x v="2"/>
    <s v="CUST4776"/>
    <s v="Priya Patel"/>
    <s v="South Africa"/>
    <x v="6"/>
    <x v="4"/>
    <x v="14"/>
    <n v="4657"/>
    <n v="30.56"/>
    <n v="2.1"/>
    <x v="200"/>
    <n v="2"/>
    <n v="4"/>
    <n v="238.8"/>
    <n v="0.05"/>
    <n v="238.75"/>
  </r>
  <r>
    <s v="5967B58A"/>
    <x v="203"/>
    <x v="2"/>
    <s v="CUST9940"/>
    <s v="Emily Smith"/>
    <s v="Philippines"/>
    <x v="3"/>
    <x v="1"/>
    <x v="6"/>
    <n v="581"/>
    <n v="32.06"/>
    <n v="3.7"/>
    <x v="201"/>
    <n v="3"/>
    <n v="13"/>
    <n v="632.19000000000005"/>
    <n v="4.7699999999999996"/>
    <n v="627.41999999999996"/>
  </r>
  <r>
    <s v="94D19C2A"/>
    <x v="204"/>
    <x v="2"/>
    <s v="CUST2034"/>
    <s v="David Taylor"/>
    <s v="South Africa"/>
    <x v="4"/>
    <x v="4"/>
    <x v="0"/>
    <n v="911"/>
    <n v="8.66"/>
    <n v="4.0999999999999996"/>
    <x v="202"/>
    <n v="2"/>
    <n v="3"/>
    <n v="132.06"/>
    <n v="4.96"/>
    <n v="127.1"/>
  </r>
  <r>
    <s v="05EDA9DB"/>
    <x v="205"/>
    <x v="3"/>
    <s v="CUST5653"/>
    <s v="Ahmed Lee"/>
    <s v="New Zealand"/>
    <x v="7"/>
    <x v="2"/>
    <x v="1"/>
    <n v="3952"/>
    <n v="17.3"/>
    <n v="2.2999999999999998"/>
    <x v="203"/>
    <n v="4"/>
    <n v="10"/>
    <n v="954.4"/>
    <n v="2.02"/>
    <n v="952.38"/>
  </r>
  <r>
    <s v="B32F51A3"/>
    <x v="206"/>
    <x v="6"/>
    <s v="CUST8893"/>
    <s v="Ravi Taylor"/>
    <s v="South Africa"/>
    <x v="3"/>
    <x v="3"/>
    <x v="9"/>
    <n v="849"/>
    <n v="41.77"/>
    <n v="4.0999999999999996"/>
    <x v="204"/>
    <n v="3"/>
    <n v="19"/>
    <n v="1427.2800000000002"/>
    <n v="9.1"/>
    <n v="1418.18"/>
  </r>
  <r>
    <s v="76BC43CD"/>
    <x v="207"/>
    <x v="2"/>
    <s v="CUST3595"/>
    <s v="John Garcia"/>
    <s v="Qatar"/>
    <x v="3"/>
    <x v="3"/>
    <x v="3"/>
    <n v="2140"/>
    <n v="37.590000000000003"/>
    <n v="1.4"/>
    <x v="205"/>
    <n v="1"/>
    <n v="3"/>
    <n v="93.960000000000008"/>
    <n v="0.11"/>
    <n v="93.85"/>
  </r>
  <r>
    <s v="7F50FE80"/>
    <x v="208"/>
    <x v="2"/>
    <s v="CUST2874"/>
    <s v="Emily Smith"/>
    <s v="South Africa"/>
    <x v="1"/>
    <x v="2"/>
    <x v="3"/>
    <n v="4702"/>
    <n v="49.61"/>
    <n v="2.8"/>
    <x v="206"/>
    <n v="3"/>
    <n v="2"/>
    <n v="186.24"/>
    <n v="8.51"/>
    <n v="177.73"/>
  </r>
  <r>
    <s v="8045BD29"/>
    <x v="204"/>
    <x v="9"/>
    <s v="CUST2241"/>
    <s v="Kumar Taylor"/>
    <s v="Qatar"/>
    <x v="0"/>
    <x v="1"/>
    <x v="11"/>
    <n v="1220"/>
    <n v="41.79"/>
    <n v="3.1"/>
    <x v="77"/>
    <n v="1"/>
    <n v="5"/>
    <n v="136.19999999999999"/>
    <n v="3.14"/>
    <n v="133.06"/>
  </r>
  <r>
    <s v="FDFEA1F5"/>
    <x v="209"/>
    <x v="7"/>
    <s v="CUST5668"/>
    <s v="Sara Smith"/>
    <s v="Canada"/>
    <x v="7"/>
    <x v="3"/>
    <x v="10"/>
    <n v="4622"/>
    <n v="46.71"/>
    <n v="2.2999999999999998"/>
    <x v="207"/>
    <n v="2"/>
    <n v="7"/>
    <n v="222.88"/>
    <n v="0.6"/>
    <n v="222.28"/>
  </r>
  <r>
    <s v="D307264B"/>
    <x v="210"/>
    <x v="4"/>
    <s v="CUST5873"/>
    <s v="Sara Garcia"/>
    <s v="Indonesia"/>
    <x v="1"/>
    <x v="4"/>
    <x v="0"/>
    <n v="3472"/>
    <n v="13.23"/>
    <n v="2.9"/>
    <x v="208"/>
    <n v="1"/>
    <n v="1"/>
    <n v="13.89"/>
    <n v="4.8"/>
    <n v="9.09"/>
  </r>
  <r>
    <s v="432E8B3C"/>
    <x v="211"/>
    <x v="5"/>
    <s v="CUST1794"/>
    <s v="Emily Patel"/>
    <s v="Brazil"/>
    <x v="7"/>
    <x v="1"/>
    <x v="1"/>
    <n v="3194"/>
    <n v="22.87"/>
    <n v="1.2"/>
    <x v="209"/>
    <n v="1"/>
    <n v="3"/>
    <n v="23.04"/>
    <n v="2.8"/>
    <n v="20.239999999999998"/>
  </r>
  <r>
    <s v="9FA53C7A"/>
    <x v="212"/>
    <x v="1"/>
    <s v="CUST3156"/>
    <s v="Anita Garcia"/>
    <s v="New Zealand"/>
    <x v="2"/>
    <x v="2"/>
    <x v="14"/>
    <n v="1138"/>
    <n v="26.42"/>
    <n v="3.3"/>
    <x v="210"/>
    <n v="3"/>
    <n v="1"/>
    <n v="54.36"/>
    <n v="7.51"/>
    <n v="46.85"/>
  </r>
  <r>
    <s v="E0A418D7"/>
    <x v="213"/>
    <x v="2"/>
    <s v="CUST9387"/>
    <s v="Sophia Taylor"/>
    <s v="Australia"/>
    <x v="0"/>
    <x v="4"/>
    <x v="10"/>
    <n v="3314"/>
    <n v="15.14"/>
    <n v="2.8"/>
    <x v="211"/>
    <n v="5"/>
    <n v="17"/>
    <n v="2636.7"/>
    <n v="7.9"/>
    <n v="2628.8"/>
  </r>
  <r>
    <s v="F483C306"/>
    <x v="214"/>
    <x v="3"/>
    <s v="CUST2377"/>
    <s v="Ravi Brown"/>
    <s v="Singapore"/>
    <x v="0"/>
    <x v="3"/>
    <x v="11"/>
    <n v="4293"/>
    <n v="46.42"/>
    <n v="3.4"/>
    <x v="212"/>
    <n v="5"/>
    <n v="11"/>
    <n v="962.5"/>
    <n v="6.77"/>
    <n v="955.73"/>
  </r>
  <r>
    <s v="A6F27989"/>
    <x v="215"/>
    <x v="4"/>
    <s v="CUST2192"/>
    <s v="Ravi Sharma"/>
    <s v="Australia"/>
    <x v="6"/>
    <x v="2"/>
    <x v="14"/>
    <n v="241"/>
    <n v="14.01"/>
    <n v="1.5"/>
    <x v="213"/>
    <n v="4"/>
    <n v="6"/>
    <n v="899.76"/>
    <n v="5.39"/>
    <n v="894.37"/>
  </r>
  <r>
    <s v="C439B27B"/>
    <x v="216"/>
    <x v="3"/>
    <s v="CUST5844"/>
    <s v="John Singh"/>
    <s v="Singapore"/>
    <x v="3"/>
    <x v="1"/>
    <x v="2"/>
    <n v="4691"/>
    <n v="41.85"/>
    <n v="4.2"/>
    <x v="214"/>
    <n v="3"/>
    <n v="6"/>
    <n v="96.480000000000018"/>
    <n v="8.56"/>
    <n v="87.92"/>
  </r>
  <r>
    <s v="3427860C"/>
    <x v="171"/>
    <x v="9"/>
    <s v="CUST1720"/>
    <s v="John Sharma"/>
    <s v="Singapore"/>
    <x v="1"/>
    <x v="2"/>
    <x v="8"/>
    <n v="3185"/>
    <n v="18.64"/>
    <n v="1.7"/>
    <x v="215"/>
    <n v="2"/>
    <n v="19"/>
    <n v="462.46"/>
    <n v="4.4800000000000004"/>
    <n v="457.98"/>
  </r>
  <r>
    <s v="3B317D5C"/>
    <x v="217"/>
    <x v="5"/>
    <s v="CUST1973"/>
    <s v="Ahmed Brown"/>
    <s v="Indonesia"/>
    <x v="6"/>
    <x v="0"/>
    <x v="11"/>
    <n v="1644"/>
    <n v="24.52"/>
    <n v="2.6"/>
    <x v="216"/>
    <n v="3"/>
    <n v="19"/>
    <n v="2135.79"/>
    <n v="4"/>
    <n v="2131.79"/>
  </r>
  <r>
    <s v="C91F9A06"/>
    <x v="218"/>
    <x v="4"/>
    <s v="CUST1730"/>
    <s v="Anita Lee"/>
    <s v="Qatar"/>
    <x v="8"/>
    <x v="1"/>
    <x v="5"/>
    <n v="2488"/>
    <n v="30.95"/>
    <n v="4.2"/>
    <x v="69"/>
    <n v="5"/>
    <n v="10"/>
    <n v="1068"/>
    <n v="4.05"/>
    <n v="1063.95"/>
  </r>
  <r>
    <s v="417BB02A"/>
    <x v="219"/>
    <x v="1"/>
    <s v="CUST6014"/>
    <s v="Priya Sharma"/>
    <s v="New Zealand"/>
    <x v="3"/>
    <x v="3"/>
    <x v="4"/>
    <n v="4363"/>
    <n v="24.04"/>
    <n v="2.5"/>
    <x v="217"/>
    <n v="5"/>
    <n v="5"/>
    <n v="689.75"/>
    <n v="7.57"/>
    <n v="682.18"/>
  </r>
  <r>
    <s v="E201A73E"/>
    <x v="220"/>
    <x v="2"/>
    <s v="CUST8909"/>
    <s v="John Taylor"/>
    <s v="South Africa"/>
    <x v="0"/>
    <x v="2"/>
    <x v="7"/>
    <n v="1406"/>
    <n v="25.9"/>
    <n v="4.2"/>
    <x v="218"/>
    <n v="4"/>
    <n v="19"/>
    <n v="442.32000000000005"/>
    <n v="8.57"/>
    <n v="433.75"/>
  </r>
  <r>
    <s v="32E9EC4A"/>
    <x v="221"/>
    <x v="2"/>
    <s v="CUST4692"/>
    <s v="Emily Brown"/>
    <s v="Philippines"/>
    <x v="7"/>
    <x v="4"/>
    <x v="13"/>
    <n v="2757"/>
    <n v="34.22"/>
    <n v="2.2000000000000002"/>
    <x v="219"/>
    <n v="1"/>
    <n v="2"/>
    <n v="53.76"/>
    <n v="4.4000000000000004"/>
    <n v="49.36"/>
  </r>
  <r>
    <s v="72EC7FFC"/>
    <x v="222"/>
    <x v="0"/>
    <s v="CUST1605"/>
    <s v="Sara Brown"/>
    <s v="Canada"/>
    <x v="6"/>
    <x v="0"/>
    <x v="1"/>
    <n v="4757"/>
    <n v="43.04"/>
    <n v="1.4"/>
    <x v="220"/>
    <n v="2"/>
    <n v="12"/>
    <n v="847.92"/>
    <n v="6.94"/>
    <n v="840.98"/>
  </r>
  <r>
    <s v="AC811B9C"/>
    <x v="223"/>
    <x v="3"/>
    <s v="CUST5177"/>
    <s v="Ahmed Smith"/>
    <s v="Indonesia"/>
    <x v="2"/>
    <x v="2"/>
    <x v="8"/>
    <n v="4206"/>
    <n v="29.08"/>
    <n v="3.5"/>
    <x v="221"/>
    <n v="4"/>
    <n v="5"/>
    <n v="766"/>
    <n v="7.19"/>
    <n v="758.81"/>
  </r>
  <r>
    <s v="3EBD8DE3"/>
    <x v="224"/>
    <x v="9"/>
    <s v="CUST5846"/>
    <s v="Priya Singh"/>
    <s v="South Africa"/>
    <x v="2"/>
    <x v="1"/>
    <x v="12"/>
    <n v="3975"/>
    <n v="21.25"/>
    <n v="2.1"/>
    <x v="222"/>
    <n v="1"/>
    <n v="18"/>
    <n v="289.98"/>
    <n v="5.51"/>
    <n v="284.47000000000003"/>
  </r>
  <r>
    <s v="015B7B0E"/>
    <x v="225"/>
    <x v="0"/>
    <s v="CUST3343"/>
    <s v="Sara Das"/>
    <s v="Indonesia"/>
    <x v="4"/>
    <x v="0"/>
    <x v="9"/>
    <n v="3655"/>
    <n v="36.51"/>
    <n v="4.9000000000000004"/>
    <x v="3"/>
    <n v="1"/>
    <n v="13"/>
    <n v="469.69000000000005"/>
    <n v="9.08"/>
    <n v="460.61"/>
  </r>
  <r>
    <s v="067C91A5"/>
    <x v="226"/>
    <x v="8"/>
    <s v="CUST9834"/>
    <s v="John Smith"/>
    <s v="Indonesia"/>
    <x v="8"/>
    <x v="4"/>
    <x v="3"/>
    <n v="2256"/>
    <n v="44.64"/>
    <n v="2.7"/>
    <x v="223"/>
    <n v="5"/>
    <n v="20"/>
    <n v="1653.9999999999998"/>
    <n v="6.51"/>
    <n v="1647.49"/>
  </r>
  <r>
    <s v="7EC237B7"/>
    <x v="227"/>
    <x v="0"/>
    <s v="CUST5671"/>
    <s v="Ravi Das"/>
    <s v="India"/>
    <x v="8"/>
    <x v="2"/>
    <x v="14"/>
    <n v="4273"/>
    <n v="45.21"/>
    <n v="2"/>
    <x v="224"/>
    <n v="1"/>
    <n v="6"/>
    <n v="134.46"/>
    <n v="8.81"/>
    <n v="125.65"/>
  </r>
  <r>
    <s v="D5E6ADD2"/>
    <x v="228"/>
    <x v="8"/>
    <s v="CUST7493"/>
    <s v="Sara Brown"/>
    <s v="Indonesia"/>
    <x v="5"/>
    <x v="1"/>
    <x v="8"/>
    <n v="4702"/>
    <n v="43.86"/>
    <n v="4.9000000000000004"/>
    <x v="225"/>
    <n v="3"/>
    <n v="14"/>
    <n v="644.28"/>
    <n v="4.68"/>
    <n v="639.6"/>
  </r>
  <r>
    <s v="CEB3F081"/>
    <x v="229"/>
    <x v="1"/>
    <s v="CUST4038"/>
    <s v="Anita Lee"/>
    <s v="South Africa"/>
    <x v="0"/>
    <x v="3"/>
    <x v="7"/>
    <n v="1608"/>
    <n v="19.21"/>
    <n v="2.1"/>
    <x v="226"/>
    <n v="2"/>
    <n v="14"/>
    <n v="997.07999999999993"/>
    <n v="9.8800000000000008"/>
    <n v="987.2"/>
  </r>
  <r>
    <s v="67B45B4C"/>
    <x v="230"/>
    <x v="6"/>
    <s v="CUST3207"/>
    <s v="Ravi Brown"/>
    <s v="South Africa"/>
    <x v="6"/>
    <x v="3"/>
    <x v="7"/>
    <n v="4729"/>
    <n v="40.79"/>
    <n v="3.6"/>
    <x v="227"/>
    <n v="2"/>
    <n v="9"/>
    <n v="217.62"/>
    <n v="6.98"/>
    <n v="210.64"/>
  </r>
  <r>
    <s v="2BE3CAA5"/>
    <x v="231"/>
    <x v="1"/>
    <s v="CUST7040"/>
    <s v="David Lee"/>
    <s v="Australia"/>
    <x v="6"/>
    <x v="3"/>
    <x v="11"/>
    <n v="3755"/>
    <n v="6.01"/>
    <n v="4.7"/>
    <x v="228"/>
    <n v="2"/>
    <n v="17"/>
    <n v="423.64000000000004"/>
    <n v="4.6900000000000004"/>
    <n v="418.95"/>
  </r>
  <r>
    <s v="212D2227"/>
    <x v="232"/>
    <x v="3"/>
    <s v="CUST6634"/>
    <s v="Priya Sharma"/>
    <s v="Australia"/>
    <x v="8"/>
    <x v="0"/>
    <x v="2"/>
    <n v="3507"/>
    <n v="46.71"/>
    <n v="3.4"/>
    <x v="229"/>
    <n v="3"/>
    <n v="12"/>
    <n v="452.52"/>
    <n v="4.3899999999999997"/>
    <n v="448.13"/>
  </r>
  <r>
    <s v="BFE132BD"/>
    <x v="233"/>
    <x v="5"/>
    <s v="CUST7485"/>
    <s v="Ravi Khan"/>
    <s v="South Africa"/>
    <x v="4"/>
    <x v="4"/>
    <x v="13"/>
    <n v="450"/>
    <n v="6.01"/>
    <n v="1.2"/>
    <x v="230"/>
    <n v="5"/>
    <n v="5"/>
    <n v="884.25"/>
    <n v="8.24"/>
    <n v="876.01"/>
  </r>
  <r>
    <s v="C9C22698"/>
    <x v="234"/>
    <x v="8"/>
    <s v="CUST7062"/>
    <s v="Sara Brown"/>
    <s v="New Zealand"/>
    <x v="7"/>
    <x v="3"/>
    <x v="10"/>
    <n v="440"/>
    <n v="41.76"/>
    <n v="2.2000000000000002"/>
    <x v="231"/>
    <n v="5"/>
    <n v="7"/>
    <n v="892.5"/>
    <n v="4.84"/>
    <n v="887.66"/>
  </r>
  <r>
    <s v="8A3AC05E"/>
    <x v="235"/>
    <x v="6"/>
    <s v="CUST7318"/>
    <s v="Ahmed Garcia"/>
    <s v="Brazil"/>
    <x v="5"/>
    <x v="1"/>
    <x v="4"/>
    <n v="4602"/>
    <n v="30.88"/>
    <n v="2.1"/>
    <x v="232"/>
    <n v="5"/>
    <n v="1"/>
    <n v="90.399999999999991"/>
    <n v="5.86"/>
    <n v="84.54"/>
  </r>
  <r>
    <s v="2B83FC79"/>
    <x v="236"/>
    <x v="2"/>
    <s v="CUST7731"/>
    <s v="Anita Patel"/>
    <s v="Singapore"/>
    <x v="5"/>
    <x v="0"/>
    <x v="7"/>
    <n v="2261"/>
    <n v="32.19"/>
    <n v="1.5"/>
    <x v="233"/>
    <n v="2"/>
    <n v="15"/>
    <n v="368.09999999999997"/>
    <n v="3.64"/>
    <n v="364.46"/>
  </r>
  <r>
    <s v="6A5D9F94"/>
    <x v="237"/>
    <x v="9"/>
    <s v="CUST4432"/>
    <s v="Ahmed Sharma"/>
    <s v="South Africa"/>
    <x v="7"/>
    <x v="2"/>
    <x v="1"/>
    <n v="4962"/>
    <n v="41.36"/>
    <n v="3.9"/>
    <x v="234"/>
    <n v="4"/>
    <n v="4"/>
    <n v="226.24"/>
    <n v="1.9"/>
    <n v="224.34"/>
  </r>
  <r>
    <s v="2A4EA006"/>
    <x v="238"/>
    <x v="3"/>
    <s v="CUST1592"/>
    <s v="David Lee"/>
    <s v="Australia"/>
    <x v="1"/>
    <x v="1"/>
    <x v="13"/>
    <n v="2806"/>
    <n v="21.02"/>
    <n v="1.6"/>
    <x v="235"/>
    <n v="5"/>
    <n v="1"/>
    <n v="43.05"/>
    <n v="7.34"/>
    <n v="35.71"/>
  </r>
  <r>
    <s v="95B70454"/>
    <x v="239"/>
    <x v="0"/>
    <s v="CUST7378"/>
    <s v="Ahmed Patel"/>
    <s v="Singapore"/>
    <x v="2"/>
    <x v="2"/>
    <x v="4"/>
    <n v="2037"/>
    <n v="32.31"/>
    <n v="3"/>
    <x v="236"/>
    <n v="5"/>
    <n v="20"/>
    <n v="2018"/>
    <n v="9.35"/>
    <n v="2008.65"/>
  </r>
  <r>
    <s v="D1848D13"/>
    <x v="240"/>
    <x v="7"/>
    <s v="CUST2252"/>
    <s v="Ravi Lee"/>
    <s v="Canada"/>
    <x v="8"/>
    <x v="2"/>
    <x v="0"/>
    <n v="98"/>
    <n v="18.54"/>
    <n v="3"/>
    <x v="237"/>
    <n v="1"/>
    <n v="9"/>
    <n v="336.24"/>
    <n v="2.95"/>
    <n v="333.29"/>
  </r>
  <r>
    <s v="B2F8E293"/>
    <x v="241"/>
    <x v="5"/>
    <s v="CUST3580"/>
    <s v="Ravi Khan"/>
    <s v="India"/>
    <x v="5"/>
    <x v="1"/>
    <x v="3"/>
    <n v="1485"/>
    <n v="12.66"/>
    <n v="3.8"/>
    <x v="238"/>
    <n v="4"/>
    <n v="19"/>
    <n v="993.32"/>
    <n v="9.08"/>
    <n v="984.24"/>
  </r>
  <r>
    <s v="63FE5F4B"/>
    <x v="242"/>
    <x v="8"/>
    <s v="CUST2126"/>
    <s v="John Patel"/>
    <s v="Brazil"/>
    <x v="0"/>
    <x v="4"/>
    <x v="1"/>
    <n v="977"/>
    <n v="19.62"/>
    <n v="4.0999999999999996"/>
    <x v="239"/>
    <n v="2"/>
    <n v="18"/>
    <n v="1214.28"/>
    <n v="7.12"/>
    <n v="1207.1600000000001"/>
  </r>
  <r>
    <s v="0B4CC7CF"/>
    <x v="243"/>
    <x v="6"/>
    <s v="CUST8261"/>
    <s v="Emily Patel"/>
    <s v="New Zealand"/>
    <x v="4"/>
    <x v="4"/>
    <x v="14"/>
    <n v="4987"/>
    <n v="27.22"/>
    <n v="2.6"/>
    <x v="90"/>
    <n v="4"/>
    <n v="4"/>
    <n v="173.6"/>
    <n v="9.9"/>
    <n v="163.69999999999999"/>
  </r>
  <r>
    <s v="27B0A8CC"/>
    <x v="244"/>
    <x v="4"/>
    <s v="CUST6614"/>
    <s v="David Brown"/>
    <s v="Australia"/>
    <x v="7"/>
    <x v="0"/>
    <x v="7"/>
    <n v="1156"/>
    <n v="15.91"/>
    <n v="3"/>
    <x v="109"/>
    <n v="4"/>
    <n v="7"/>
    <n v="338.24"/>
    <n v="9.1300000000000008"/>
    <n v="329.11"/>
  </r>
  <r>
    <s v="06215777"/>
    <x v="245"/>
    <x v="8"/>
    <s v="CUST8523"/>
    <s v="Priya Lee"/>
    <s v="Indonesia"/>
    <x v="3"/>
    <x v="0"/>
    <x v="12"/>
    <n v="2944"/>
    <n v="41.42"/>
    <n v="4.9000000000000004"/>
    <x v="240"/>
    <n v="3"/>
    <n v="4"/>
    <n v="376.44"/>
    <n v="9.41"/>
    <n v="367.03"/>
  </r>
  <r>
    <s v="798E196F"/>
    <x v="246"/>
    <x v="0"/>
    <s v="CUST4183"/>
    <s v="David Brown"/>
    <s v="Australia"/>
    <x v="2"/>
    <x v="0"/>
    <x v="2"/>
    <n v="3928"/>
    <n v="13.04"/>
    <n v="3.3"/>
    <x v="241"/>
    <n v="5"/>
    <n v="11"/>
    <n v="1195.1500000000001"/>
    <n v="4.08"/>
    <n v="1191.07"/>
  </r>
  <r>
    <s v="158323BC"/>
    <x v="247"/>
    <x v="8"/>
    <s v="CUST1654"/>
    <s v="Ahmed Lee"/>
    <s v="India"/>
    <x v="8"/>
    <x v="4"/>
    <x v="5"/>
    <n v="1313"/>
    <n v="30.32"/>
    <n v="3.6"/>
    <x v="242"/>
    <n v="3"/>
    <n v="6"/>
    <n v="682.92"/>
    <n v="2.34"/>
    <n v="680.58"/>
  </r>
  <r>
    <s v="4777320D"/>
    <x v="248"/>
    <x v="5"/>
    <s v="CUST1475"/>
    <s v="Ahmed Lee"/>
    <s v="Brazil"/>
    <x v="3"/>
    <x v="4"/>
    <x v="8"/>
    <n v="1210"/>
    <n v="35.18"/>
    <n v="2.5"/>
    <x v="243"/>
    <n v="5"/>
    <n v="5"/>
    <n v="713.5"/>
    <n v="9.43"/>
    <n v="704.07"/>
  </r>
  <r>
    <s v="1F4975BD"/>
    <x v="249"/>
    <x v="6"/>
    <s v="CUST3004"/>
    <s v="Kumar Das"/>
    <s v="Brazil"/>
    <x v="1"/>
    <x v="0"/>
    <x v="7"/>
    <n v="2348"/>
    <n v="15.34"/>
    <n v="2.1"/>
    <x v="244"/>
    <n v="5"/>
    <n v="19"/>
    <n v="2880.4"/>
    <n v="2.1800000000000002"/>
    <n v="2878.22"/>
  </r>
  <r>
    <s v="41E9B6CE"/>
    <x v="250"/>
    <x v="6"/>
    <s v="CUST3445"/>
    <s v="Kumar Garcia"/>
    <s v="Australia"/>
    <x v="4"/>
    <x v="4"/>
    <x v="6"/>
    <n v="3583"/>
    <n v="25.74"/>
    <n v="1.5"/>
    <x v="245"/>
    <n v="4"/>
    <n v="15"/>
    <n v="2061"/>
    <n v="6.98"/>
    <n v="2054.02"/>
  </r>
  <r>
    <s v="81B84991"/>
    <x v="251"/>
    <x v="7"/>
    <s v="CUST7266"/>
    <s v="David Patel"/>
    <s v="Canada"/>
    <x v="2"/>
    <x v="1"/>
    <x v="10"/>
    <n v="4124"/>
    <n v="32.96"/>
    <n v="3.3"/>
    <x v="246"/>
    <n v="3"/>
    <n v="9"/>
    <n v="253.26"/>
    <n v="0.97"/>
    <n v="252.29"/>
  </r>
  <r>
    <s v="CF76FFAE"/>
    <x v="252"/>
    <x v="3"/>
    <s v="CUST2982"/>
    <s v="David Brown"/>
    <s v="Singapore"/>
    <x v="3"/>
    <x v="1"/>
    <x v="1"/>
    <n v="650"/>
    <n v="49.71"/>
    <n v="2.2000000000000002"/>
    <x v="247"/>
    <n v="2"/>
    <n v="4"/>
    <n v="281.27999999999997"/>
    <n v="6.81"/>
    <n v="274.47000000000003"/>
  </r>
  <r>
    <s v="2AC5C594"/>
    <x v="253"/>
    <x v="4"/>
    <s v="CUST3059"/>
    <s v="Priya Garcia"/>
    <s v="Brazil"/>
    <x v="4"/>
    <x v="2"/>
    <x v="12"/>
    <n v="2966"/>
    <n v="45.83"/>
    <n v="3"/>
    <x v="248"/>
    <n v="4"/>
    <n v="2"/>
    <n v="289.92"/>
    <n v="7.32"/>
    <n v="282.60000000000002"/>
  </r>
  <r>
    <s v="751FD75F"/>
    <x v="254"/>
    <x v="4"/>
    <s v="CUST5711"/>
    <s v="Ahmed Taylor"/>
    <s v="Indonesia"/>
    <x v="8"/>
    <x v="2"/>
    <x v="14"/>
    <n v="4104"/>
    <n v="43.94"/>
    <n v="4.5"/>
    <x v="249"/>
    <n v="3"/>
    <n v="5"/>
    <n v="120.6"/>
    <n v="2.5299999999999998"/>
    <n v="118.07"/>
  </r>
  <r>
    <s v="6F96A0A4"/>
    <x v="255"/>
    <x v="6"/>
    <s v="CUST9393"/>
    <s v="Sara Khan"/>
    <s v="Indonesia"/>
    <x v="5"/>
    <x v="2"/>
    <x v="6"/>
    <n v="4560"/>
    <n v="22.99"/>
    <n v="3.4"/>
    <x v="250"/>
    <n v="5"/>
    <n v="19"/>
    <n v="3082.75"/>
    <n v="5.82"/>
    <n v="3076.93"/>
  </r>
  <r>
    <s v="969F6444"/>
    <x v="256"/>
    <x v="9"/>
    <s v="CUST4318"/>
    <s v="Kumar Taylor"/>
    <s v="Brazil"/>
    <x v="1"/>
    <x v="2"/>
    <x v="8"/>
    <n v="4098"/>
    <n v="49.66"/>
    <n v="1.1000000000000001"/>
    <x v="251"/>
    <n v="4"/>
    <n v="11"/>
    <n v="939.40000000000009"/>
    <n v="7.28"/>
    <n v="932.12"/>
  </r>
  <r>
    <s v="3AA899FA"/>
    <x v="257"/>
    <x v="8"/>
    <s v="CUST5569"/>
    <s v="Kumar Sharma"/>
    <s v="Qatar"/>
    <x v="3"/>
    <x v="0"/>
    <x v="5"/>
    <n v="3715"/>
    <n v="44.73"/>
    <n v="4.5"/>
    <x v="146"/>
    <n v="4"/>
    <n v="9"/>
    <n v="203.04"/>
    <n v="4.54"/>
    <n v="198.5"/>
  </r>
  <r>
    <s v="A2136473"/>
    <x v="258"/>
    <x v="4"/>
    <s v="CUST4234"/>
    <s v="John Singh"/>
    <s v="Philippines"/>
    <x v="6"/>
    <x v="3"/>
    <x v="2"/>
    <n v="2438"/>
    <n v="22.17"/>
    <n v="3.8"/>
    <x v="252"/>
    <n v="1"/>
    <n v="1"/>
    <n v="21.8"/>
    <n v="4.43"/>
    <n v="17.37"/>
  </r>
  <r>
    <s v="D0BD3E38"/>
    <x v="259"/>
    <x v="0"/>
    <s v="CUST6849"/>
    <s v="John Khan"/>
    <s v="Brazil"/>
    <x v="6"/>
    <x v="3"/>
    <x v="0"/>
    <n v="2493"/>
    <n v="34.64"/>
    <n v="4.7"/>
    <x v="253"/>
    <n v="4"/>
    <n v="12"/>
    <n v="267.84000000000003"/>
    <n v="3.77"/>
    <n v="264.07"/>
  </r>
  <r>
    <s v="A556C5DA"/>
    <x v="260"/>
    <x v="4"/>
    <s v="CUST2314"/>
    <s v="John Singh"/>
    <s v="Philippines"/>
    <x v="4"/>
    <x v="2"/>
    <x v="13"/>
    <n v="4585"/>
    <n v="21.5"/>
    <n v="4.0999999999999996"/>
    <x v="254"/>
    <n v="4"/>
    <n v="11"/>
    <n v="992.2"/>
    <n v="2.79"/>
    <n v="989.41"/>
  </r>
  <r>
    <s v="90C267CD"/>
    <x v="261"/>
    <x v="9"/>
    <s v="CUST7324"/>
    <s v="Priya Sharma"/>
    <s v="New Zealand"/>
    <x v="6"/>
    <x v="1"/>
    <x v="9"/>
    <n v="1278"/>
    <n v="40.729999999999997"/>
    <n v="2.2000000000000002"/>
    <x v="255"/>
    <n v="1"/>
    <n v="9"/>
    <n v="292.86"/>
    <n v="9.36"/>
    <n v="283.5"/>
  </r>
  <r>
    <s v="D227813D"/>
    <x v="262"/>
    <x v="3"/>
    <s v="CUST7700"/>
    <s v="Sara Khan"/>
    <s v="India"/>
    <x v="6"/>
    <x v="1"/>
    <x v="12"/>
    <n v="1575"/>
    <n v="27.46"/>
    <n v="2"/>
    <x v="256"/>
    <n v="5"/>
    <n v="17"/>
    <n v="1295.4000000000001"/>
    <n v="4.58"/>
    <n v="1290.82"/>
  </r>
  <r>
    <s v="4C99A6FB"/>
    <x v="263"/>
    <x v="8"/>
    <s v="CUST4508"/>
    <s v="Anita Taylor"/>
    <s v="Indonesia"/>
    <x v="6"/>
    <x v="4"/>
    <x v="11"/>
    <n v="1262"/>
    <n v="5.59"/>
    <n v="3.2"/>
    <x v="257"/>
    <n v="3"/>
    <n v="18"/>
    <n v="1168.02"/>
    <n v="4.04"/>
    <n v="1163.98"/>
  </r>
  <r>
    <s v="3A6BDB3F"/>
    <x v="264"/>
    <x v="6"/>
    <s v="CUST7032"/>
    <s v="Sophia Taylor"/>
    <s v="Australia"/>
    <x v="2"/>
    <x v="3"/>
    <x v="3"/>
    <n v="1318"/>
    <n v="27"/>
    <n v="1.9"/>
    <x v="258"/>
    <n v="5"/>
    <n v="2"/>
    <n v="193.5"/>
    <n v="0.83"/>
    <n v="192.67"/>
  </r>
  <r>
    <s v="9FB223E4"/>
    <x v="118"/>
    <x v="3"/>
    <s v="CUST1006"/>
    <s v="David Singh"/>
    <s v="Singapore"/>
    <x v="2"/>
    <x v="1"/>
    <x v="1"/>
    <n v="4328"/>
    <n v="29.26"/>
    <n v="3.4"/>
    <x v="259"/>
    <n v="1"/>
    <n v="19"/>
    <n v="757.53"/>
    <n v="2.08"/>
    <n v="755.45"/>
  </r>
  <r>
    <s v="10EC1FE4"/>
    <x v="265"/>
    <x v="2"/>
    <s v="CUST2505"/>
    <s v="Anita Brown"/>
    <s v="Australia"/>
    <x v="5"/>
    <x v="0"/>
    <x v="5"/>
    <n v="2851"/>
    <n v="17.25"/>
    <n v="1.7"/>
    <x v="260"/>
    <n v="1"/>
    <n v="13"/>
    <n v="399.09999999999997"/>
    <n v="9.1199999999999992"/>
    <n v="389.98"/>
  </r>
  <r>
    <s v="2A2F31CF"/>
    <x v="266"/>
    <x v="6"/>
    <s v="CUST5872"/>
    <s v="Ahmed Singh"/>
    <s v="Brazil"/>
    <x v="5"/>
    <x v="3"/>
    <x v="12"/>
    <n v="2030"/>
    <n v="8.4600000000000009"/>
    <n v="4"/>
    <x v="261"/>
    <n v="5"/>
    <n v="14"/>
    <n v="1243.2000000000003"/>
    <n v="9.24"/>
    <n v="1233.96"/>
  </r>
  <r>
    <s v="8B151D2D"/>
    <x v="267"/>
    <x v="2"/>
    <s v="CUST2828"/>
    <s v="Anita Lee"/>
    <s v="Singapore"/>
    <x v="8"/>
    <x v="3"/>
    <x v="14"/>
    <n v="1845"/>
    <n v="35.99"/>
    <n v="3.2"/>
    <x v="262"/>
    <n v="4"/>
    <n v="16"/>
    <n v="1938.56"/>
    <n v="1.43"/>
    <n v="1937.13"/>
  </r>
  <r>
    <s v="44338A8C"/>
    <x v="268"/>
    <x v="2"/>
    <s v="CUST6397"/>
    <s v="John Patel"/>
    <s v="Singapore"/>
    <x v="1"/>
    <x v="3"/>
    <x v="9"/>
    <n v="4342"/>
    <n v="44.51"/>
    <n v="2.5"/>
    <x v="263"/>
    <n v="2"/>
    <n v="10"/>
    <n v="726.80000000000007"/>
    <n v="4.29"/>
    <n v="722.51"/>
  </r>
  <r>
    <s v="6F82A632"/>
    <x v="269"/>
    <x v="9"/>
    <s v="CUST4117"/>
    <s v="Priya Sharma"/>
    <s v="New Zealand"/>
    <x v="2"/>
    <x v="4"/>
    <x v="5"/>
    <n v="2646"/>
    <n v="29.61"/>
    <n v="1.8"/>
    <x v="11"/>
    <n v="4"/>
    <n v="13"/>
    <n v="1115.92"/>
    <n v="3.76"/>
    <n v="1112.1600000000001"/>
  </r>
  <r>
    <s v="DABBFB84"/>
    <x v="270"/>
    <x v="5"/>
    <s v="CUST8028"/>
    <s v="Priya Brown"/>
    <s v="India"/>
    <x v="2"/>
    <x v="2"/>
    <x v="2"/>
    <n v="4918"/>
    <n v="42.89"/>
    <n v="1.6"/>
    <x v="264"/>
    <n v="1"/>
    <n v="20"/>
    <n v="327.40000000000003"/>
    <n v="2.71"/>
    <n v="324.69"/>
  </r>
  <r>
    <s v="DB683564"/>
    <x v="271"/>
    <x v="1"/>
    <s v="CUST1751"/>
    <s v="John Sharma"/>
    <s v="New Zealand"/>
    <x v="8"/>
    <x v="3"/>
    <x v="1"/>
    <n v="125"/>
    <n v="48.68"/>
    <n v="1"/>
    <x v="265"/>
    <n v="5"/>
    <n v="10"/>
    <n v="1878"/>
    <n v="5.98"/>
    <n v="1872.02"/>
  </r>
  <r>
    <s v="0F942C69"/>
    <x v="272"/>
    <x v="9"/>
    <s v="CUST9454"/>
    <s v="Priya Das"/>
    <s v="New Zealand"/>
    <x v="4"/>
    <x v="3"/>
    <x v="6"/>
    <n v="2450"/>
    <n v="41.36"/>
    <n v="1.8"/>
    <x v="266"/>
    <n v="5"/>
    <n v="8"/>
    <n v="386.4"/>
    <n v="2.02"/>
    <n v="384.38"/>
  </r>
  <r>
    <s v="70D38732"/>
    <x v="273"/>
    <x v="8"/>
    <s v="CUST5355"/>
    <s v="Kumar Khan"/>
    <s v="India"/>
    <x v="1"/>
    <x v="3"/>
    <x v="7"/>
    <n v="2531"/>
    <n v="43.49"/>
    <n v="4.5999999999999996"/>
    <x v="267"/>
    <n v="1"/>
    <n v="9"/>
    <n v="247.23"/>
    <n v="9.34"/>
    <n v="237.89"/>
  </r>
  <r>
    <s v="23A52E7F"/>
    <x v="274"/>
    <x v="5"/>
    <s v="CUST5996"/>
    <s v="Sara Garcia"/>
    <s v="Qatar"/>
    <x v="4"/>
    <x v="2"/>
    <x v="10"/>
    <n v="2020"/>
    <n v="41.69"/>
    <n v="1.7"/>
    <x v="268"/>
    <n v="4"/>
    <n v="2"/>
    <n v="260.48"/>
    <n v="5.9"/>
    <n v="254.58"/>
  </r>
  <r>
    <s v="1B2D6855"/>
    <x v="275"/>
    <x v="7"/>
    <s v="CUST7724"/>
    <s v="Kumar Taylor"/>
    <s v="Singapore"/>
    <x v="8"/>
    <x v="2"/>
    <x v="4"/>
    <n v="3046"/>
    <n v="41.93"/>
    <n v="3.7"/>
    <x v="269"/>
    <n v="3"/>
    <n v="1"/>
    <n v="33.839999999999996"/>
    <n v="1.93"/>
    <n v="31.91"/>
  </r>
  <r>
    <s v="88D8D5F3"/>
    <x v="158"/>
    <x v="0"/>
    <s v="CUST5170"/>
    <s v="John Khan"/>
    <s v="India"/>
    <x v="0"/>
    <x v="1"/>
    <x v="10"/>
    <n v="2937"/>
    <n v="24.94"/>
    <n v="2.2999999999999998"/>
    <x v="270"/>
    <n v="4"/>
    <n v="8"/>
    <n v="556.48"/>
    <n v="5.21"/>
    <n v="551.27"/>
  </r>
  <r>
    <s v="FA76C601"/>
    <x v="276"/>
    <x v="9"/>
    <s v="CUST7553"/>
    <s v="Ahmed Sharma"/>
    <s v="Indonesia"/>
    <x v="5"/>
    <x v="3"/>
    <x v="1"/>
    <n v="2803"/>
    <n v="16.93"/>
    <n v="3.7"/>
    <x v="271"/>
    <n v="3"/>
    <n v="20"/>
    <n v="1489.2000000000003"/>
    <n v="6.75"/>
    <n v="1482.45"/>
  </r>
  <r>
    <s v="AA055E3C"/>
    <x v="277"/>
    <x v="8"/>
    <s v="CUST5882"/>
    <s v="Sophia Khan"/>
    <s v="India"/>
    <x v="7"/>
    <x v="3"/>
    <x v="7"/>
    <n v="697"/>
    <n v="23.03"/>
    <n v="3.5"/>
    <x v="272"/>
    <n v="1"/>
    <n v="14"/>
    <n v="105.42"/>
    <n v="8.93"/>
    <n v="96.49"/>
  </r>
  <r>
    <s v="2CE145C4"/>
    <x v="278"/>
    <x v="7"/>
    <s v="CUST1904"/>
    <s v="Sophia Lee"/>
    <s v="Qatar"/>
    <x v="6"/>
    <x v="2"/>
    <x v="12"/>
    <n v="1351"/>
    <n v="46.1"/>
    <n v="3.2"/>
    <x v="273"/>
    <n v="5"/>
    <n v="17"/>
    <n v="606.04999999999995"/>
    <n v="3.13"/>
    <n v="602.91999999999996"/>
  </r>
  <r>
    <s v="CE44E762"/>
    <x v="279"/>
    <x v="6"/>
    <s v="CUST9172"/>
    <s v="Priya Singh"/>
    <s v="Philippines"/>
    <x v="4"/>
    <x v="2"/>
    <x v="5"/>
    <n v="3790"/>
    <n v="32.26"/>
    <n v="1.3"/>
    <x v="232"/>
    <n v="5"/>
    <n v="8"/>
    <n v="723.19999999999993"/>
    <n v="6.39"/>
    <n v="716.81"/>
  </r>
  <r>
    <s v="200B0EC7"/>
    <x v="280"/>
    <x v="6"/>
    <s v="CUST3914"/>
    <s v="Priya Brown"/>
    <s v="Philippines"/>
    <x v="6"/>
    <x v="1"/>
    <x v="8"/>
    <n v="3904"/>
    <n v="23.16"/>
    <n v="4.9000000000000004"/>
    <x v="274"/>
    <n v="4"/>
    <n v="7"/>
    <n v="1102.3599999999999"/>
    <n v="1.32"/>
    <n v="1101.04"/>
  </r>
  <r>
    <s v="0506E8B1"/>
    <x v="281"/>
    <x v="9"/>
    <s v="CUST3056"/>
    <s v="Emily Sharma"/>
    <s v="Brazil"/>
    <x v="8"/>
    <x v="0"/>
    <x v="6"/>
    <n v="1084"/>
    <n v="25.06"/>
    <n v="4.2"/>
    <x v="275"/>
    <n v="5"/>
    <n v="5"/>
    <n v="152.25"/>
    <n v="3.34"/>
    <n v="148.91"/>
  </r>
  <r>
    <s v="A4ADEDBF"/>
    <x v="282"/>
    <x v="0"/>
    <s v="CUST3371"/>
    <s v="Emily Sharma"/>
    <s v="Indonesia"/>
    <x v="6"/>
    <x v="0"/>
    <x v="10"/>
    <n v="4648"/>
    <n v="29.54"/>
    <n v="3.3"/>
    <x v="276"/>
    <n v="4"/>
    <n v="9"/>
    <n v="1173.96"/>
    <n v="8.25"/>
    <n v="1165.71"/>
  </r>
  <r>
    <s v="804DBE16"/>
    <x v="97"/>
    <x v="2"/>
    <s v="CUST8498"/>
    <s v="Anita Taylor"/>
    <s v="South Africa"/>
    <x v="7"/>
    <x v="1"/>
    <x v="9"/>
    <n v="2135"/>
    <n v="20.87"/>
    <n v="2.5"/>
    <x v="277"/>
    <n v="1"/>
    <n v="8"/>
    <n v="188.88"/>
    <n v="5.48"/>
    <n v="183.4"/>
  </r>
  <r>
    <s v="59600162"/>
    <x v="283"/>
    <x v="4"/>
    <s v="CUST7086"/>
    <s v="John Brown"/>
    <s v="South Africa"/>
    <x v="7"/>
    <x v="0"/>
    <x v="13"/>
    <n v="2028"/>
    <n v="33"/>
    <n v="1.1000000000000001"/>
    <x v="278"/>
    <n v="4"/>
    <n v="8"/>
    <n v="1152"/>
    <n v="7.16"/>
    <n v="1144.8399999999999"/>
  </r>
  <r>
    <s v="75D84991"/>
    <x v="284"/>
    <x v="9"/>
    <s v="CUST3679"/>
    <s v="Anita Patel"/>
    <s v="Philippines"/>
    <x v="2"/>
    <x v="3"/>
    <x v="1"/>
    <n v="4607"/>
    <n v="22.16"/>
    <n v="1.4"/>
    <x v="279"/>
    <n v="2"/>
    <n v="12"/>
    <n v="435.36"/>
    <n v="9.3000000000000007"/>
    <n v="426.06"/>
  </r>
  <r>
    <s v="148BF9B4"/>
    <x v="285"/>
    <x v="7"/>
    <s v="CUST2051"/>
    <s v="Ravi Sharma"/>
    <s v="Canada"/>
    <x v="4"/>
    <x v="2"/>
    <x v="2"/>
    <n v="4549"/>
    <n v="42.44"/>
    <n v="3.1"/>
    <x v="280"/>
    <n v="5"/>
    <n v="16"/>
    <n v="2354.4"/>
    <n v="3.66"/>
    <n v="2350.7399999999998"/>
  </r>
  <r>
    <s v="B2E0E648"/>
    <x v="286"/>
    <x v="5"/>
    <s v="CUST4961"/>
    <s v="Sophia Brown"/>
    <s v="Philippines"/>
    <x v="8"/>
    <x v="4"/>
    <x v="4"/>
    <n v="4823"/>
    <n v="14.62"/>
    <n v="2.6"/>
    <x v="281"/>
    <n v="4"/>
    <n v="20"/>
    <n v="1973.6000000000001"/>
    <n v="7.66"/>
    <n v="1965.94"/>
  </r>
  <r>
    <s v="0A4B56DC"/>
    <x v="287"/>
    <x v="7"/>
    <s v="CUST1196"/>
    <s v="Sophia Sharma"/>
    <s v="India"/>
    <x v="6"/>
    <x v="0"/>
    <x v="6"/>
    <n v="4005"/>
    <n v="45.32"/>
    <n v="4.0999999999999996"/>
    <x v="282"/>
    <n v="4"/>
    <n v="14"/>
    <n v="1000.72"/>
    <n v="5.39"/>
    <n v="995.33"/>
  </r>
  <r>
    <s v="33BEE376"/>
    <x v="288"/>
    <x v="0"/>
    <s v="CUST3318"/>
    <s v="Anita Lee"/>
    <s v="Australia"/>
    <x v="3"/>
    <x v="2"/>
    <x v="12"/>
    <n v="790"/>
    <n v="22.35"/>
    <n v="4"/>
    <x v="283"/>
    <n v="5"/>
    <n v="20"/>
    <n v="1086"/>
    <n v="6.01"/>
    <n v="1079.99"/>
  </r>
  <r>
    <s v="AAA65AD3"/>
    <x v="289"/>
    <x v="0"/>
    <s v="CUST7439"/>
    <s v="Sara Das"/>
    <s v="India"/>
    <x v="6"/>
    <x v="3"/>
    <x v="6"/>
    <n v="2267"/>
    <n v="14.22"/>
    <n v="1.6"/>
    <x v="284"/>
    <n v="3"/>
    <n v="4"/>
    <n v="364.56"/>
    <n v="2.84"/>
    <n v="361.72"/>
  </r>
  <r>
    <s v="12C2F493"/>
    <x v="290"/>
    <x v="2"/>
    <s v="CUST3652"/>
    <s v="David Singh"/>
    <s v="Indonesia"/>
    <x v="0"/>
    <x v="1"/>
    <x v="1"/>
    <n v="4048"/>
    <n v="31.62"/>
    <n v="4.2"/>
    <x v="285"/>
    <n v="4"/>
    <n v="14"/>
    <n v="837.76"/>
    <n v="2.36"/>
    <n v="835.4"/>
  </r>
  <r>
    <s v="220A2574"/>
    <x v="204"/>
    <x v="9"/>
    <s v="CUST4855"/>
    <s v="Anita Smith"/>
    <s v="Qatar"/>
    <x v="0"/>
    <x v="4"/>
    <x v="9"/>
    <n v="4252"/>
    <n v="17.48"/>
    <n v="3.7"/>
    <x v="286"/>
    <n v="5"/>
    <n v="20"/>
    <n v="1857.9999999999998"/>
    <n v="9.7100000000000009"/>
    <n v="1848.29"/>
  </r>
  <r>
    <s v="31916B4E"/>
    <x v="291"/>
    <x v="3"/>
    <s v="CUST8324"/>
    <s v="Sophia Sharma"/>
    <s v="Canada"/>
    <x v="7"/>
    <x v="4"/>
    <x v="9"/>
    <n v="331"/>
    <n v="6.1"/>
    <n v="4.9000000000000004"/>
    <x v="287"/>
    <n v="1"/>
    <n v="18"/>
    <n v="475.74"/>
    <n v="8.86"/>
    <n v="466.88"/>
  </r>
  <r>
    <s v="57597925"/>
    <x v="292"/>
    <x v="5"/>
    <s v="CUST5596"/>
    <s v="Sara Sharma"/>
    <s v="Philippines"/>
    <x v="4"/>
    <x v="0"/>
    <x v="7"/>
    <n v="4436"/>
    <n v="37.18"/>
    <n v="2.6"/>
    <x v="288"/>
    <n v="4"/>
    <n v="10"/>
    <n v="1155.5999999999999"/>
    <n v="9.66"/>
    <n v="1145.94"/>
  </r>
  <r>
    <s v="0C21388B"/>
    <x v="261"/>
    <x v="0"/>
    <s v="CUST4939"/>
    <s v="Kumar Taylor"/>
    <s v="New Zealand"/>
    <x v="3"/>
    <x v="0"/>
    <x v="11"/>
    <n v="2815"/>
    <n v="13.28"/>
    <n v="4.0999999999999996"/>
    <x v="289"/>
    <n v="4"/>
    <n v="5"/>
    <n v="425.20000000000005"/>
    <n v="5.37"/>
    <n v="419.83"/>
  </r>
  <r>
    <s v="A776BA2A"/>
    <x v="293"/>
    <x v="1"/>
    <s v="CUST2676"/>
    <s v="Emily Smith"/>
    <s v="India"/>
    <x v="3"/>
    <x v="0"/>
    <x v="0"/>
    <n v="4577"/>
    <n v="25.27"/>
    <n v="1.4"/>
    <x v="290"/>
    <n v="5"/>
    <n v="20"/>
    <n v="3207"/>
    <n v="0.56000000000000005"/>
    <n v="3206.44"/>
  </r>
  <r>
    <s v="980F1AF9"/>
    <x v="294"/>
    <x v="1"/>
    <s v="CUST9910"/>
    <s v="Ravi Sharma"/>
    <s v="Canada"/>
    <x v="0"/>
    <x v="0"/>
    <x v="14"/>
    <n v="601"/>
    <n v="10.59"/>
    <n v="1.4"/>
    <x v="165"/>
    <n v="4"/>
    <n v="1"/>
    <n v="51.52"/>
    <n v="3.39"/>
    <n v="48.13"/>
  </r>
  <r>
    <s v="EF16AA03"/>
    <x v="295"/>
    <x v="5"/>
    <s v="CUST7927"/>
    <s v="Sara Brown"/>
    <s v="Indonesia"/>
    <x v="7"/>
    <x v="0"/>
    <x v="5"/>
    <n v="4113"/>
    <n v="13.92"/>
    <n v="4.7"/>
    <x v="291"/>
    <n v="4"/>
    <n v="17"/>
    <n v="1494.64"/>
    <n v="9.2799999999999994"/>
    <n v="1485.36"/>
  </r>
  <r>
    <s v="7E2FC999"/>
    <x v="296"/>
    <x v="6"/>
    <s v="CUST4831"/>
    <s v="Emily Khan"/>
    <s v="Brazil"/>
    <x v="3"/>
    <x v="0"/>
    <x v="6"/>
    <n v="1324"/>
    <n v="10.3"/>
    <n v="3.3"/>
    <x v="207"/>
    <n v="4"/>
    <n v="6"/>
    <n v="382.08"/>
    <n v="6.63"/>
    <n v="375.45"/>
  </r>
  <r>
    <s v="92E4D335"/>
    <x v="297"/>
    <x v="7"/>
    <s v="CUST4091"/>
    <s v="Kumar Taylor"/>
    <s v="Philippines"/>
    <x v="7"/>
    <x v="3"/>
    <x v="5"/>
    <n v="2309"/>
    <n v="12.66"/>
    <n v="4"/>
    <x v="292"/>
    <n v="4"/>
    <n v="4"/>
    <n v="454.4"/>
    <n v="3.87"/>
    <n v="450.53"/>
  </r>
  <r>
    <s v="BF716B9B"/>
    <x v="298"/>
    <x v="1"/>
    <s v="CUST7676"/>
    <s v="Anita Sharma"/>
    <s v="Philippines"/>
    <x v="6"/>
    <x v="2"/>
    <x v="5"/>
    <n v="2433"/>
    <n v="47.17"/>
    <n v="1.7"/>
    <x v="293"/>
    <n v="3"/>
    <n v="16"/>
    <n v="1755.84"/>
    <n v="2"/>
    <n v="1753.84"/>
  </r>
  <r>
    <s v="FC648D50"/>
    <x v="299"/>
    <x v="3"/>
    <s v="CUST3540"/>
    <s v="Kumar Lee"/>
    <s v="Qatar"/>
    <x v="6"/>
    <x v="4"/>
    <x v="14"/>
    <n v="1172"/>
    <n v="34.58"/>
    <n v="3.6"/>
    <x v="294"/>
    <n v="5"/>
    <n v="13"/>
    <n v="1057.55"/>
    <n v="8.66"/>
    <n v="1048.8900000000001"/>
  </r>
  <r>
    <s v="0FE58B75"/>
    <x v="300"/>
    <x v="2"/>
    <s v="CUST5913"/>
    <s v="John Sharma"/>
    <s v="Indonesia"/>
    <x v="1"/>
    <x v="4"/>
    <x v="5"/>
    <n v="2323"/>
    <n v="32.299999999999997"/>
    <n v="4.9000000000000004"/>
    <x v="74"/>
    <n v="3"/>
    <n v="9"/>
    <n v="200.60999999999999"/>
    <n v="3.35"/>
    <n v="197.26"/>
  </r>
  <r>
    <s v="36A87766"/>
    <x v="301"/>
    <x v="3"/>
    <s v="CUST2397"/>
    <s v="Sara Sharma"/>
    <s v="Canada"/>
    <x v="0"/>
    <x v="3"/>
    <x v="9"/>
    <n v="2303"/>
    <n v="48.99"/>
    <n v="2.1"/>
    <x v="295"/>
    <n v="2"/>
    <n v="8"/>
    <n v="98.4"/>
    <n v="6.85"/>
    <n v="91.55"/>
  </r>
  <r>
    <s v="97E2ADA4"/>
    <x v="112"/>
    <x v="9"/>
    <s v="CUST8733"/>
    <s v="Ahmed Taylor"/>
    <s v="Singapore"/>
    <x v="4"/>
    <x v="0"/>
    <x v="7"/>
    <n v="668"/>
    <n v="17.11"/>
    <n v="3.3"/>
    <x v="296"/>
    <n v="3"/>
    <n v="19"/>
    <n v="1474.59"/>
    <n v="4.78"/>
    <n v="1469.81"/>
  </r>
  <r>
    <s v="EBBA03D1"/>
    <x v="302"/>
    <x v="7"/>
    <s v="CUST3811"/>
    <s v="Emily Brown"/>
    <s v="South Africa"/>
    <x v="2"/>
    <x v="4"/>
    <x v="8"/>
    <n v="4843"/>
    <n v="28.02"/>
    <n v="4.5999999999999996"/>
    <x v="297"/>
    <n v="3"/>
    <n v="10"/>
    <n v="1177.8"/>
    <n v="2.98"/>
    <n v="1174.82"/>
  </r>
  <r>
    <s v="1F7E3611"/>
    <x v="303"/>
    <x v="2"/>
    <s v="CUST3940"/>
    <s v="Emily Smith"/>
    <s v="India"/>
    <x v="1"/>
    <x v="1"/>
    <x v="7"/>
    <n v="852"/>
    <n v="44.15"/>
    <n v="3.5"/>
    <x v="298"/>
    <n v="1"/>
    <n v="13"/>
    <n v="311.48"/>
    <n v="0.35"/>
    <n v="311.13"/>
  </r>
  <r>
    <s v="3AE34CC2"/>
    <x v="304"/>
    <x v="2"/>
    <s v="CUST4843"/>
    <s v="Sophia Brown"/>
    <s v="Qatar"/>
    <x v="6"/>
    <x v="1"/>
    <x v="14"/>
    <n v="4192"/>
    <n v="28.67"/>
    <n v="3.4"/>
    <x v="299"/>
    <n v="3"/>
    <n v="8"/>
    <n v="843.36"/>
    <n v="8.7200000000000006"/>
    <n v="834.64"/>
  </r>
  <r>
    <s v="B87FE3DC"/>
    <x v="305"/>
    <x v="3"/>
    <s v="CUST8710"/>
    <s v="John Smith"/>
    <s v="Brazil"/>
    <x v="0"/>
    <x v="4"/>
    <x v="7"/>
    <n v="82"/>
    <n v="46.95"/>
    <n v="2.5"/>
    <x v="27"/>
    <n v="4"/>
    <n v="8"/>
    <n v="323.2"/>
    <n v="4.0999999999999996"/>
    <n v="319.10000000000002"/>
  </r>
  <r>
    <s v="4D9C8234"/>
    <x v="306"/>
    <x v="6"/>
    <s v="CUST1267"/>
    <s v="Emily Patel"/>
    <s v="Brazil"/>
    <x v="4"/>
    <x v="3"/>
    <x v="5"/>
    <n v="3675"/>
    <n v="48.07"/>
    <n v="1.5"/>
    <x v="300"/>
    <n v="2"/>
    <n v="7"/>
    <n v="450.94"/>
    <n v="5.83"/>
    <n v="445.11"/>
  </r>
  <r>
    <s v="B4BB24F8"/>
    <x v="307"/>
    <x v="5"/>
    <s v="CUST1284"/>
    <s v="Sara Khan"/>
    <s v="Qatar"/>
    <x v="2"/>
    <x v="2"/>
    <x v="5"/>
    <n v="3226"/>
    <n v="17.27"/>
    <n v="4.9000000000000004"/>
    <x v="301"/>
    <n v="4"/>
    <n v="18"/>
    <n v="2201.7599999999998"/>
    <n v="9.2899999999999991"/>
    <n v="2192.4699999999998"/>
  </r>
  <r>
    <s v="433CECC3"/>
    <x v="255"/>
    <x v="8"/>
    <s v="CUST4297"/>
    <s v="Kumar Lee"/>
    <s v="India"/>
    <x v="8"/>
    <x v="3"/>
    <x v="14"/>
    <n v="3163"/>
    <n v="24.97"/>
    <n v="2.8"/>
    <x v="292"/>
    <n v="4"/>
    <n v="2"/>
    <n v="227.2"/>
    <n v="6.06"/>
    <n v="221.14"/>
  </r>
  <r>
    <s v="BFC92D2D"/>
    <x v="308"/>
    <x v="2"/>
    <s v="CUST2483"/>
    <s v="Anita Garcia"/>
    <s v="India"/>
    <x v="1"/>
    <x v="3"/>
    <x v="3"/>
    <n v="3424"/>
    <n v="45.01"/>
    <n v="3.7"/>
    <x v="302"/>
    <n v="4"/>
    <n v="19"/>
    <n v="2989.08"/>
    <n v="0.21"/>
    <n v="2988.87"/>
  </r>
  <r>
    <s v="0C2F6C68"/>
    <x v="137"/>
    <x v="3"/>
    <s v="CUST8674"/>
    <s v="Anita Brown"/>
    <s v="Brazil"/>
    <x v="6"/>
    <x v="3"/>
    <x v="11"/>
    <n v="4645"/>
    <n v="28.64"/>
    <n v="4.0999999999999996"/>
    <x v="303"/>
    <n v="1"/>
    <n v="20"/>
    <n v="446.4"/>
    <n v="6.87"/>
    <n v="439.53"/>
  </r>
  <r>
    <s v="9B31096C"/>
    <x v="309"/>
    <x v="0"/>
    <s v="CUST5427"/>
    <s v="Emily Taylor"/>
    <s v="Brazil"/>
    <x v="0"/>
    <x v="4"/>
    <x v="12"/>
    <n v="4744"/>
    <n v="14.78"/>
    <n v="4"/>
    <x v="304"/>
    <n v="4"/>
    <n v="13"/>
    <n v="1658.8"/>
    <n v="2.21"/>
    <n v="1656.59"/>
  </r>
  <r>
    <s v="A0BC2093"/>
    <x v="310"/>
    <x v="3"/>
    <s v="CUST7215"/>
    <s v="Sara Khan"/>
    <s v="India"/>
    <x v="5"/>
    <x v="3"/>
    <x v="9"/>
    <n v="3763"/>
    <n v="32.340000000000003"/>
    <n v="2.2999999999999998"/>
    <x v="305"/>
    <n v="5"/>
    <n v="10"/>
    <n v="1723.9999999999998"/>
    <n v="4.2699999999999996"/>
    <n v="1719.73"/>
  </r>
  <r>
    <s v="138F08DF"/>
    <x v="311"/>
    <x v="6"/>
    <s v="CUST5139"/>
    <s v="Sara Smith"/>
    <s v="South Africa"/>
    <x v="2"/>
    <x v="0"/>
    <x v="12"/>
    <n v="4080"/>
    <n v="8.91"/>
    <n v="4"/>
    <x v="306"/>
    <n v="1"/>
    <n v="12"/>
    <n v="408.72"/>
    <n v="5.0199999999999996"/>
    <n v="403.7"/>
  </r>
  <r>
    <s v="5039CB33"/>
    <x v="312"/>
    <x v="8"/>
    <s v="CUST5204"/>
    <s v="Priya Smith"/>
    <s v="New Zealand"/>
    <x v="0"/>
    <x v="2"/>
    <x v="10"/>
    <n v="954"/>
    <n v="17.04"/>
    <n v="4.7"/>
    <x v="307"/>
    <n v="3"/>
    <n v="18"/>
    <n v="1182.06"/>
    <n v="1.61"/>
    <n v="1180.45"/>
  </r>
  <r>
    <s v="D77FFC28"/>
    <x v="313"/>
    <x v="8"/>
    <s v="CUST8350"/>
    <s v="Sara Taylor"/>
    <s v="Australia"/>
    <x v="1"/>
    <x v="3"/>
    <x v="13"/>
    <n v="531"/>
    <n v="33.880000000000003"/>
    <n v="3.5"/>
    <x v="308"/>
    <n v="5"/>
    <n v="2"/>
    <n v="250.6"/>
    <n v="2.2799999999999998"/>
    <n v="248.32"/>
  </r>
  <r>
    <s v="B0BC89C2"/>
    <x v="314"/>
    <x v="4"/>
    <s v="CUST5398"/>
    <s v="Anita Lee"/>
    <s v="New Zealand"/>
    <x v="1"/>
    <x v="3"/>
    <x v="11"/>
    <n v="3203"/>
    <n v="27.29"/>
    <n v="1.7"/>
    <x v="309"/>
    <n v="4"/>
    <n v="4"/>
    <n v="488.16"/>
    <n v="8.93"/>
    <n v="479.23"/>
  </r>
  <r>
    <s v="A8EAC98D"/>
    <x v="315"/>
    <x v="7"/>
    <s v="CUST9679"/>
    <s v="Priya Brown"/>
    <s v="Indonesia"/>
    <x v="2"/>
    <x v="3"/>
    <x v="14"/>
    <n v="4167"/>
    <n v="41.73"/>
    <n v="4.8"/>
    <x v="310"/>
    <n v="1"/>
    <n v="8"/>
    <n v="265.60000000000002"/>
    <n v="6.13"/>
    <n v="259.47000000000003"/>
  </r>
  <r>
    <s v="9BE459D2"/>
    <x v="316"/>
    <x v="0"/>
    <s v="CUST9252"/>
    <s v="Priya Patel"/>
    <s v="India"/>
    <x v="1"/>
    <x v="3"/>
    <x v="12"/>
    <n v="971"/>
    <n v="34.450000000000003"/>
    <n v="4.2"/>
    <x v="311"/>
    <n v="1"/>
    <n v="3"/>
    <n v="104.69999999999999"/>
    <n v="6.2"/>
    <n v="98.5"/>
  </r>
  <r>
    <s v="34FD0CFC"/>
    <x v="317"/>
    <x v="7"/>
    <s v="CUST5063"/>
    <s v="John Das"/>
    <s v="South Africa"/>
    <x v="8"/>
    <x v="1"/>
    <x v="9"/>
    <n v="183"/>
    <n v="49.25"/>
    <n v="3.3"/>
    <x v="95"/>
    <n v="3"/>
    <n v="12"/>
    <n v="1323.3600000000001"/>
    <n v="6.64"/>
    <n v="1316.72"/>
  </r>
  <r>
    <s v="848FDB33"/>
    <x v="318"/>
    <x v="1"/>
    <s v="CUST1670"/>
    <s v="Ahmed Brown"/>
    <s v="Canada"/>
    <x v="1"/>
    <x v="1"/>
    <x v="1"/>
    <n v="373"/>
    <n v="33.619999999999997"/>
    <n v="3.7"/>
    <x v="312"/>
    <n v="3"/>
    <n v="4"/>
    <n v="120.24"/>
    <n v="7.83"/>
    <n v="112.41"/>
  </r>
  <r>
    <s v="2ADD6FE5"/>
    <x v="319"/>
    <x v="3"/>
    <s v="CUST7974"/>
    <s v="David Garcia"/>
    <s v="Brazil"/>
    <x v="7"/>
    <x v="4"/>
    <x v="9"/>
    <n v="2884"/>
    <n v="22.39"/>
    <n v="3.6"/>
    <x v="313"/>
    <n v="1"/>
    <n v="17"/>
    <n v="97.410000000000011"/>
    <n v="7"/>
    <n v="90.41"/>
  </r>
  <r>
    <s v="12C0AFAF"/>
    <x v="320"/>
    <x v="1"/>
    <s v="CUST5646"/>
    <s v="Kumar Singh"/>
    <s v="South Africa"/>
    <x v="6"/>
    <x v="2"/>
    <x v="0"/>
    <n v="673"/>
    <n v="29.99"/>
    <n v="4"/>
    <x v="314"/>
    <n v="5"/>
    <n v="20"/>
    <n v="1190"/>
    <n v="2.38"/>
    <n v="1187.6199999999999"/>
  </r>
  <r>
    <s v="60E57B8C"/>
    <x v="321"/>
    <x v="9"/>
    <s v="CUST2201"/>
    <s v="Ahmed Patel"/>
    <s v="South Africa"/>
    <x v="2"/>
    <x v="4"/>
    <x v="1"/>
    <n v="3212"/>
    <n v="38.67"/>
    <n v="2.6"/>
    <x v="315"/>
    <n v="2"/>
    <n v="20"/>
    <n v="971.2"/>
    <n v="9.08"/>
    <n v="962.12"/>
  </r>
  <r>
    <s v="0A6BC75D"/>
    <x v="322"/>
    <x v="4"/>
    <s v="CUST1170"/>
    <s v="Sophia Lee"/>
    <s v="Brazil"/>
    <x v="8"/>
    <x v="1"/>
    <x v="2"/>
    <n v="511"/>
    <n v="20.12"/>
    <n v="4.2"/>
    <x v="316"/>
    <n v="3"/>
    <n v="8"/>
    <n v="933.12000000000012"/>
    <n v="9.61"/>
    <n v="923.51"/>
  </r>
  <r>
    <s v="9D2B8F13"/>
    <x v="323"/>
    <x v="0"/>
    <s v="CUST3059"/>
    <s v="Sophia Garcia"/>
    <s v="Singapore"/>
    <x v="1"/>
    <x v="1"/>
    <x v="7"/>
    <n v="525"/>
    <n v="37.53"/>
    <n v="2.2000000000000002"/>
    <x v="317"/>
    <n v="3"/>
    <n v="17"/>
    <n v="1021.5300000000001"/>
    <n v="6.44"/>
    <n v="1015.09"/>
  </r>
  <r>
    <s v="456B5B00"/>
    <x v="324"/>
    <x v="3"/>
    <s v="CUST2115"/>
    <s v="David Das"/>
    <s v="Australia"/>
    <x v="2"/>
    <x v="0"/>
    <x v="0"/>
    <n v="3607"/>
    <n v="32.85"/>
    <n v="1.5"/>
    <x v="318"/>
    <n v="3"/>
    <n v="6"/>
    <n v="655.02"/>
    <n v="9.9499999999999993"/>
    <n v="645.07000000000005"/>
  </r>
  <r>
    <s v="1ED87466"/>
    <x v="325"/>
    <x v="8"/>
    <s v="CUST2653"/>
    <s v="Ravi Das"/>
    <s v="Philippines"/>
    <x v="1"/>
    <x v="3"/>
    <x v="12"/>
    <n v="2433"/>
    <n v="14.27"/>
    <n v="3.3"/>
    <x v="319"/>
    <n v="3"/>
    <n v="12"/>
    <n v="306.71999999999997"/>
    <n v="7.24"/>
    <n v="299.48"/>
  </r>
  <r>
    <s v="781F1C02"/>
    <x v="326"/>
    <x v="9"/>
    <s v="CUST3753"/>
    <s v="Priya Smith"/>
    <s v="Singapore"/>
    <x v="1"/>
    <x v="3"/>
    <x v="2"/>
    <n v="4678"/>
    <n v="17.54"/>
    <n v="4.4000000000000004"/>
    <x v="320"/>
    <n v="3"/>
    <n v="16"/>
    <n v="1084.8000000000002"/>
    <n v="5.82"/>
    <n v="1078.98"/>
  </r>
  <r>
    <s v="C203232B"/>
    <x v="327"/>
    <x v="5"/>
    <s v="CUST9033"/>
    <s v="Ravi Brown"/>
    <s v="Singapore"/>
    <x v="4"/>
    <x v="2"/>
    <x v="8"/>
    <n v="1920"/>
    <n v="20.79"/>
    <n v="4.9000000000000004"/>
    <x v="321"/>
    <n v="5"/>
    <n v="13"/>
    <n v="1346.15"/>
    <n v="3.21"/>
    <n v="1342.94"/>
  </r>
  <r>
    <s v="FB5BEBAE"/>
    <x v="328"/>
    <x v="5"/>
    <s v="CUST9373"/>
    <s v="Ahmed Taylor"/>
    <s v="South Africa"/>
    <x v="3"/>
    <x v="3"/>
    <x v="10"/>
    <n v="1279"/>
    <n v="35.479999999999997"/>
    <n v="1.4"/>
    <x v="322"/>
    <n v="4"/>
    <n v="3"/>
    <n v="76.679999999999993"/>
    <n v="9.9499999999999993"/>
    <n v="66.73"/>
  </r>
  <r>
    <s v="B936C37C"/>
    <x v="329"/>
    <x v="0"/>
    <s v="CUST9106"/>
    <s v="Anita Patel"/>
    <s v="South Africa"/>
    <x v="3"/>
    <x v="4"/>
    <x v="14"/>
    <n v="996"/>
    <n v="38.49"/>
    <n v="3"/>
    <x v="245"/>
    <n v="2"/>
    <n v="12"/>
    <n v="824.40000000000009"/>
    <n v="9.75"/>
    <n v="814.65"/>
  </r>
  <r>
    <s v="66B7982C"/>
    <x v="330"/>
    <x v="9"/>
    <s v="CUST5391"/>
    <s v="Priya Lee"/>
    <s v="Singapore"/>
    <x v="6"/>
    <x v="2"/>
    <x v="8"/>
    <n v="4275"/>
    <n v="16.059999999999999"/>
    <n v="3.8"/>
    <x v="323"/>
    <n v="3"/>
    <n v="2"/>
    <n v="176.46"/>
    <n v="3.03"/>
    <n v="173.43"/>
  </r>
  <r>
    <s v="9E6DF523"/>
    <x v="331"/>
    <x v="6"/>
    <s v="CUST6539"/>
    <s v="Sara Lee"/>
    <s v="Singapore"/>
    <x v="7"/>
    <x v="1"/>
    <x v="7"/>
    <n v="3671"/>
    <n v="23.04"/>
    <n v="2.5"/>
    <x v="324"/>
    <n v="1"/>
    <n v="5"/>
    <n v="199.89999999999998"/>
    <n v="5.23"/>
    <n v="194.67"/>
  </r>
  <r>
    <s v="121FEEE0"/>
    <x v="332"/>
    <x v="9"/>
    <s v="CUST9827"/>
    <s v="Emily Lee"/>
    <s v="Australia"/>
    <x v="4"/>
    <x v="1"/>
    <x v="0"/>
    <n v="1603"/>
    <n v="32.19"/>
    <n v="2.9"/>
    <x v="313"/>
    <n v="4"/>
    <n v="9"/>
    <n v="206.28000000000003"/>
    <n v="2.16"/>
    <n v="204.12"/>
  </r>
  <r>
    <s v="434E5C56"/>
    <x v="333"/>
    <x v="4"/>
    <s v="CUST3592"/>
    <s v="Emily Singh"/>
    <s v="Australia"/>
    <x v="8"/>
    <x v="3"/>
    <x v="1"/>
    <n v="248"/>
    <n v="10.78"/>
    <n v="2.1"/>
    <x v="325"/>
    <n v="5"/>
    <n v="10"/>
    <n v="1642.5"/>
    <n v="9.77"/>
    <n v="1632.73"/>
  </r>
  <r>
    <s v="1F7B78B4"/>
    <x v="334"/>
    <x v="9"/>
    <s v="CUST8673"/>
    <s v="David Singh"/>
    <s v="Brazil"/>
    <x v="0"/>
    <x v="0"/>
    <x v="6"/>
    <n v="4791"/>
    <n v="18.989999999999998"/>
    <n v="3.5"/>
    <x v="326"/>
    <n v="5"/>
    <n v="16"/>
    <n v="1968.8"/>
    <n v="9.98"/>
    <n v="1958.82"/>
  </r>
  <r>
    <s v="7C39C94B"/>
    <x v="335"/>
    <x v="7"/>
    <s v="CUST3377"/>
    <s v="John Taylor"/>
    <s v="Philippines"/>
    <x v="3"/>
    <x v="3"/>
    <x v="0"/>
    <n v="3584"/>
    <n v="25.27"/>
    <n v="2.6"/>
    <x v="327"/>
    <n v="1"/>
    <n v="11"/>
    <n v="146.07999999999998"/>
    <n v="2.2400000000000002"/>
    <n v="143.84"/>
  </r>
  <r>
    <s v="EC4EEC9E"/>
    <x v="336"/>
    <x v="5"/>
    <s v="CUST8926"/>
    <s v="Priya Lee"/>
    <s v="Philippines"/>
    <x v="0"/>
    <x v="2"/>
    <x v="4"/>
    <n v="4442"/>
    <n v="29.71"/>
    <n v="4.5"/>
    <x v="328"/>
    <n v="3"/>
    <n v="19"/>
    <n v="521.55000000000007"/>
    <n v="4"/>
    <n v="517.54999999999995"/>
  </r>
  <r>
    <s v="80787C80"/>
    <x v="241"/>
    <x v="9"/>
    <s v="CUST9964"/>
    <s v="Ravi Smith"/>
    <s v="Indonesia"/>
    <x v="1"/>
    <x v="1"/>
    <x v="13"/>
    <n v="1159"/>
    <n v="32.840000000000003"/>
    <n v="3.4"/>
    <x v="329"/>
    <n v="1"/>
    <n v="17"/>
    <n v="223.89"/>
    <n v="2.04"/>
    <n v="221.85"/>
  </r>
  <r>
    <s v="F32BAC95"/>
    <x v="337"/>
    <x v="7"/>
    <s v="CUST2697"/>
    <s v="Ahmed Taylor"/>
    <s v="Philippines"/>
    <x v="3"/>
    <x v="0"/>
    <x v="4"/>
    <n v="380"/>
    <n v="44.91"/>
    <n v="2.8"/>
    <x v="330"/>
    <n v="2"/>
    <n v="3"/>
    <n v="117.42"/>
    <n v="4.8499999999999996"/>
    <n v="112.57"/>
  </r>
  <r>
    <s v="2D55282E"/>
    <x v="338"/>
    <x v="0"/>
    <s v="CUST6038"/>
    <s v="Ahmed Garcia"/>
    <s v="Canada"/>
    <x v="0"/>
    <x v="2"/>
    <x v="14"/>
    <n v="4776"/>
    <n v="39.79"/>
    <n v="4.5"/>
    <x v="331"/>
    <n v="3"/>
    <n v="3"/>
    <n v="212.94"/>
    <n v="4.28"/>
    <n v="208.66"/>
  </r>
  <r>
    <s v="A6FE5134"/>
    <x v="339"/>
    <x v="3"/>
    <s v="CUST4794"/>
    <s v="Ahmed Smith"/>
    <s v="Canada"/>
    <x v="0"/>
    <x v="3"/>
    <x v="0"/>
    <n v="1494"/>
    <n v="19.37"/>
    <n v="1.9"/>
    <x v="65"/>
    <n v="3"/>
    <n v="6"/>
    <n v="334.26"/>
    <n v="4.3"/>
    <n v="329.96"/>
  </r>
  <r>
    <s v="60B97092"/>
    <x v="340"/>
    <x v="6"/>
    <s v="CUST1425"/>
    <s v="Ahmed Brown"/>
    <s v="Australia"/>
    <x v="4"/>
    <x v="4"/>
    <x v="1"/>
    <n v="1120"/>
    <n v="17.11"/>
    <n v="1.9"/>
    <x v="332"/>
    <n v="3"/>
    <n v="18"/>
    <n v="1966.1399999999999"/>
    <n v="1.1599999999999999"/>
    <n v="1964.98"/>
  </r>
  <r>
    <s v="A29D61B5"/>
    <x v="341"/>
    <x v="1"/>
    <s v="CUST5343"/>
    <s v="Ravi Lee"/>
    <s v="Philippines"/>
    <x v="4"/>
    <x v="0"/>
    <x v="10"/>
    <n v="1360"/>
    <n v="28.92"/>
    <n v="1"/>
    <x v="333"/>
    <n v="1"/>
    <n v="15"/>
    <n v="170.25"/>
    <n v="1.9"/>
    <n v="168.35"/>
  </r>
  <r>
    <s v="CA74A1AC"/>
    <x v="342"/>
    <x v="3"/>
    <s v="CUST1835"/>
    <s v="Anita Singh"/>
    <s v="India"/>
    <x v="1"/>
    <x v="3"/>
    <x v="1"/>
    <n v="1067"/>
    <n v="24.64"/>
    <n v="4.2"/>
    <x v="334"/>
    <n v="5"/>
    <n v="2"/>
    <n v="364.6"/>
    <n v="8.6199999999999992"/>
    <n v="355.98"/>
  </r>
  <r>
    <s v="5449B0D5"/>
    <x v="343"/>
    <x v="6"/>
    <s v="CUST3255"/>
    <s v="Emily Khan"/>
    <s v="Philippines"/>
    <x v="4"/>
    <x v="1"/>
    <x v="14"/>
    <n v="143"/>
    <n v="35.270000000000003"/>
    <n v="1.6"/>
    <x v="335"/>
    <n v="4"/>
    <n v="11"/>
    <n v="597.52"/>
    <n v="3.6"/>
    <n v="593.91999999999996"/>
  </r>
  <r>
    <s v="8247A300"/>
    <x v="344"/>
    <x v="9"/>
    <s v="CUST3167"/>
    <s v="Priya Lee"/>
    <s v="Philippines"/>
    <x v="6"/>
    <x v="3"/>
    <x v="3"/>
    <n v="1362"/>
    <n v="41.78"/>
    <n v="4.2"/>
    <x v="336"/>
    <n v="4"/>
    <n v="4"/>
    <n v="418.88"/>
    <n v="8.1300000000000008"/>
    <n v="410.75"/>
  </r>
  <r>
    <s v="0C031661"/>
    <x v="345"/>
    <x v="0"/>
    <s v="CUST6875"/>
    <s v="Anita Sharma"/>
    <s v="Brazil"/>
    <x v="1"/>
    <x v="3"/>
    <x v="12"/>
    <n v="263"/>
    <n v="36.76"/>
    <n v="4.2"/>
    <x v="337"/>
    <n v="1"/>
    <n v="1"/>
    <n v="11.58"/>
    <n v="3.13"/>
    <n v="8.4499999999999993"/>
  </r>
  <r>
    <s v="06704108"/>
    <x v="149"/>
    <x v="3"/>
    <s v="CUST8394"/>
    <s v="Priya Smith"/>
    <s v="Canada"/>
    <x v="2"/>
    <x v="2"/>
    <x v="0"/>
    <n v="3143"/>
    <n v="28.68"/>
    <n v="2.9"/>
    <x v="338"/>
    <n v="1"/>
    <n v="16"/>
    <n v="541.28"/>
    <n v="5.64"/>
    <n v="535.64"/>
  </r>
  <r>
    <s v="3D47D2F7"/>
    <x v="163"/>
    <x v="6"/>
    <s v="CUST9336"/>
    <s v="Sophia Brown"/>
    <s v="Brazil"/>
    <x v="6"/>
    <x v="1"/>
    <x v="4"/>
    <n v="2876"/>
    <n v="10.11"/>
    <n v="1.1000000000000001"/>
    <x v="290"/>
    <n v="1"/>
    <n v="9"/>
    <n v="288.63"/>
    <n v="7.28"/>
    <n v="281.35000000000002"/>
  </r>
  <r>
    <s v="898CB2B5"/>
    <x v="346"/>
    <x v="2"/>
    <s v="CUST7620"/>
    <s v="David Patel"/>
    <s v="Singapore"/>
    <x v="8"/>
    <x v="4"/>
    <x v="12"/>
    <n v="1918"/>
    <n v="11.75"/>
    <n v="3.2"/>
    <x v="339"/>
    <n v="4"/>
    <n v="2"/>
    <n v="263.52"/>
    <n v="2.31"/>
    <n v="261.20999999999998"/>
  </r>
  <r>
    <s v="66E156B0"/>
    <x v="347"/>
    <x v="9"/>
    <s v="CUST9057"/>
    <s v="Ahmed Brown"/>
    <s v="Philippines"/>
    <x v="7"/>
    <x v="2"/>
    <x v="8"/>
    <n v="1756"/>
    <n v="28.95"/>
    <n v="1.4"/>
    <x v="340"/>
    <n v="1"/>
    <n v="12"/>
    <n v="67.44"/>
    <n v="7.31"/>
    <n v="60.13"/>
  </r>
  <r>
    <s v="1F60A01B"/>
    <x v="348"/>
    <x v="6"/>
    <s v="CUST5586"/>
    <s v="Priya Singh"/>
    <s v="Indonesia"/>
    <x v="7"/>
    <x v="1"/>
    <x v="9"/>
    <n v="354"/>
    <n v="39.450000000000003"/>
    <n v="2.2999999999999998"/>
    <x v="341"/>
    <n v="3"/>
    <n v="3"/>
    <n v="60.570000000000007"/>
    <n v="0.93"/>
    <n v="59.64"/>
  </r>
  <r>
    <s v="254462BD"/>
    <x v="349"/>
    <x v="7"/>
    <s v="CUST1906"/>
    <s v="Emily Sharma"/>
    <s v="Singapore"/>
    <x v="4"/>
    <x v="4"/>
    <x v="13"/>
    <n v="4966"/>
    <n v="13.99"/>
    <n v="2.5"/>
    <x v="342"/>
    <n v="5"/>
    <n v="4"/>
    <n v="688.8"/>
    <n v="9.8800000000000008"/>
    <n v="678.92"/>
  </r>
  <r>
    <s v="CD831111"/>
    <x v="350"/>
    <x v="4"/>
    <s v="CUST5028"/>
    <s v="Ravi Garcia"/>
    <s v="Australia"/>
    <x v="2"/>
    <x v="0"/>
    <x v="0"/>
    <n v="3355"/>
    <n v="10.55"/>
    <n v="3.6"/>
    <x v="343"/>
    <n v="3"/>
    <n v="17"/>
    <n v="1178.1000000000001"/>
    <n v="7.85"/>
    <n v="1170.25"/>
  </r>
  <r>
    <s v="2CF675F6"/>
    <x v="351"/>
    <x v="7"/>
    <s v="CUST9895"/>
    <s v="Sara Sharma"/>
    <s v="Brazil"/>
    <x v="4"/>
    <x v="4"/>
    <x v="5"/>
    <n v="126"/>
    <n v="8.14"/>
    <n v="2.8"/>
    <x v="344"/>
    <n v="2"/>
    <n v="16"/>
    <n v="377.28"/>
    <n v="1.96"/>
    <n v="375.32"/>
  </r>
  <r>
    <s v="5A74F364"/>
    <x v="352"/>
    <x v="8"/>
    <s v="CUST5511"/>
    <s v="John Smith"/>
    <s v="Australia"/>
    <x v="8"/>
    <x v="4"/>
    <x v="14"/>
    <n v="3351"/>
    <n v="18.010000000000002"/>
    <n v="4.2"/>
    <x v="345"/>
    <n v="3"/>
    <n v="8"/>
    <n v="891.36"/>
    <n v="5.84"/>
    <n v="885.52"/>
  </r>
  <r>
    <s v="8412D482"/>
    <x v="226"/>
    <x v="0"/>
    <s v="CUST2391"/>
    <s v="John Khan"/>
    <s v="Qatar"/>
    <x v="0"/>
    <x v="4"/>
    <x v="4"/>
    <n v="4599"/>
    <n v="30.75"/>
    <n v="3.9"/>
    <x v="346"/>
    <n v="3"/>
    <n v="20"/>
    <n v="945.6"/>
    <n v="0.13"/>
    <n v="945.47"/>
  </r>
  <r>
    <s v="A7B1F8AB"/>
    <x v="353"/>
    <x v="0"/>
    <s v="CUST9081"/>
    <s v="Sara Patel"/>
    <s v="Canada"/>
    <x v="1"/>
    <x v="2"/>
    <x v="0"/>
    <n v="453"/>
    <n v="41.85"/>
    <n v="3.6"/>
    <x v="347"/>
    <n v="4"/>
    <n v="6"/>
    <n v="160.07999999999998"/>
    <n v="8.39"/>
    <n v="151.69"/>
  </r>
  <r>
    <s v="92BCEAF8"/>
    <x v="354"/>
    <x v="0"/>
    <s v="CUST8797"/>
    <s v="Ahmed Smith"/>
    <s v="Canada"/>
    <x v="2"/>
    <x v="4"/>
    <x v="8"/>
    <n v="3182"/>
    <n v="36.47"/>
    <n v="2.2000000000000002"/>
    <x v="348"/>
    <n v="3"/>
    <n v="4"/>
    <n v="453.48"/>
    <n v="9.5"/>
    <n v="443.98"/>
  </r>
  <r>
    <s v="1D3AC5E3"/>
    <x v="355"/>
    <x v="2"/>
    <s v="CUST1051"/>
    <s v="David Patel"/>
    <s v="India"/>
    <x v="8"/>
    <x v="3"/>
    <x v="6"/>
    <n v="2162"/>
    <n v="47.6"/>
    <n v="4.4000000000000004"/>
    <x v="150"/>
    <n v="5"/>
    <n v="5"/>
    <n v="299.75"/>
    <n v="6.78"/>
    <n v="292.97000000000003"/>
  </r>
  <r>
    <s v="333DD765"/>
    <x v="356"/>
    <x v="5"/>
    <s v="CUST9635"/>
    <s v="Anita Singh"/>
    <s v="Singapore"/>
    <x v="4"/>
    <x v="1"/>
    <x v="10"/>
    <n v="2393"/>
    <n v="16.43"/>
    <n v="1.5"/>
    <x v="349"/>
    <n v="1"/>
    <n v="18"/>
    <n v="528.48"/>
    <n v="0.65"/>
    <n v="527.83000000000004"/>
  </r>
  <r>
    <s v="720E2540"/>
    <x v="357"/>
    <x v="4"/>
    <s v="CUST2553"/>
    <s v="Sara Garcia"/>
    <s v="Australia"/>
    <x v="8"/>
    <x v="4"/>
    <x v="14"/>
    <n v="3455"/>
    <n v="9.3800000000000008"/>
    <n v="1.2"/>
    <x v="350"/>
    <n v="4"/>
    <n v="12"/>
    <n v="420"/>
    <n v="2.98"/>
    <n v="417.02"/>
  </r>
  <r>
    <s v="16DFA64A"/>
    <x v="1"/>
    <x v="6"/>
    <s v="CUST6187"/>
    <s v="John Garcia"/>
    <s v="Indonesia"/>
    <x v="1"/>
    <x v="1"/>
    <x v="6"/>
    <n v="1315"/>
    <n v="40.86"/>
    <n v="1.2"/>
    <x v="351"/>
    <n v="4"/>
    <n v="13"/>
    <n v="811.19999999999993"/>
    <n v="7.49"/>
    <n v="803.71"/>
  </r>
  <r>
    <s v="1851D120"/>
    <x v="358"/>
    <x v="6"/>
    <s v="CUST2177"/>
    <s v="Priya Taylor"/>
    <s v="Philippines"/>
    <x v="2"/>
    <x v="1"/>
    <x v="2"/>
    <n v="2296"/>
    <n v="8.6199999999999992"/>
    <n v="3"/>
    <x v="352"/>
    <n v="4"/>
    <n v="10"/>
    <n v="1260"/>
    <n v="7.62"/>
    <n v="1252.3800000000001"/>
  </r>
  <r>
    <s v="3F4A78CC"/>
    <x v="359"/>
    <x v="0"/>
    <s v="CUST7478"/>
    <s v="Ahmed Patel"/>
    <s v="Indonesia"/>
    <x v="1"/>
    <x v="4"/>
    <x v="13"/>
    <n v="185"/>
    <n v="27.8"/>
    <n v="3.6"/>
    <x v="353"/>
    <n v="5"/>
    <n v="8"/>
    <n v="1360.3999999999999"/>
    <n v="1.17"/>
    <n v="1359.23"/>
  </r>
  <r>
    <s v="10B0DA38"/>
    <x v="360"/>
    <x v="3"/>
    <s v="CUST1363"/>
    <s v="Kumar Khan"/>
    <s v="Brazil"/>
    <x v="4"/>
    <x v="4"/>
    <x v="1"/>
    <n v="3317"/>
    <n v="36.21"/>
    <n v="2.1"/>
    <x v="354"/>
    <n v="5"/>
    <n v="15"/>
    <n v="2261.25"/>
    <n v="1.47"/>
    <n v="2259.7800000000002"/>
  </r>
  <r>
    <s v="B1743F56"/>
    <x v="361"/>
    <x v="7"/>
    <s v="CUST1010"/>
    <s v="Ahmed Smith"/>
    <s v="New Zealand"/>
    <x v="6"/>
    <x v="4"/>
    <x v="8"/>
    <n v="1572"/>
    <n v="12.29"/>
    <n v="4"/>
    <x v="355"/>
    <n v="4"/>
    <n v="12"/>
    <n v="1669.44"/>
    <n v="6.31"/>
    <n v="1663.13"/>
  </r>
  <r>
    <s v="EA738D4B"/>
    <x v="362"/>
    <x v="8"/>
    <s v="CUST3756"/>
    <s v="David Singh"/>
    <s v="Philippines"/>
    <x v="3"/>
    <x v="3"/>
    <x v="8"/>
    <n v="1288"/>
    <n v="13.72"/>
    <n v="3.7"/>
    <x v="356"/>
    <n v="2"/>
    <n v="7"/>
    <n v="73.22"/>
    <n v="9.52"/>
    <n v="63.7"/>
  </r>
  <r>
    <s v="2F505C53"/>
    <x v="363"/>
    <x v="2"/>
    <s v="CUST5887"/>
    <s v="Kumar Patel"/>
    <s v="South Africa"/>
    <x v="1"/>
    <x v="4"/>
    <x v="14"/>
    <n v="3787"/>
    <n v="19.75"/>
    <n v="3.6"/>
    <x v="357"/>
    <n v="4"/>
    <n v="9"/>
    <n v="1362.2400000000002"/>
    <n v="7.33"/>
    <n v="1354.91"/>
  </r>
  <r>
    <s v="2A4031EE"/>
    <x v="364"/>
    <x v="4"/>
    <s v="CUST3558"/>
    <s v="David Taylor"/>
    <s v="New Zealand"/>
    <x v="4"/>
    <x v="2"/>
    <x v="8"/>
    <n v="4387"/>
    <n v="48.74"/>
    <n v="3"/>
    <x v="296"/>
    <n v="2"/>
    <n v="1"/>
    <n v="51.74"/>
    <n v="4.29"/>
    <n v="47.45"/>
  </r>
  <r>
    <s v="90E70492"/>
    <x v="169"/>
    <x v="3"/>
    <s v="CUST6032"/>
    <s v="Ravi Singh"/>
    <s v="India"/>
    <x v="2"/>
    <x v="0"/>
    <x v="11"/>
    <n v="4688"/>
    <n v="21.27"/>
    <n v="1.1000000000000001"/>
    <x v="358"/>
    <n v="1"/>
    <n v="7"/>
    <n v="135.94"/>
    <n v="1.22"/>
    <n v="134.72"/>
  </r>
  <r>
    <s v="892EAC36"/>
    <x v="365"/>
    <x v="1"/>
    <s v="CUST8112"/>
    <s v="Emily Patel"/>
    <s v="Qatar"/>
    <x v="8"/>
    <x v="0"/>
    <x v="2"/>
    <n v="1119"/>
    <n v="29.71"/>
    <n v="3.5"/>
    <x v="251"/>
    <n v="4"/>
    <n v="1"/>
    <n v="85.4"/>
    <n v="9.9499999999999993"/>
    <n v="75.45"/>
  </r>
  <r>
    <s v="3C1AA027"/>
    <x v="366"/>
    <x v="9"/>
    <s v="CUST9986"/>
    <s v="Ravi Sharma"/>
    <s v="Brazil"/>
    <x v="6"/>
    <x v="3"/>
    <x v="7"/>
    <n v="4384"/>
    <n v="11.1"/>
    <n v="3.7"/>
    <x v="359"/>
    <n v="3"/>
    <n v="3"/>
    <n v="355.68"/>
    <n v="8.24"/>
    <n v="347.44"/>
  </r>
  <r>
    <s v="C991B287"/>
    <x v="367"/>
    <x v="1"/>
    <s v="CUST1886"/>
    <s v="Sara Smith"/>
    <s v="Canada"/>
    <x v="3"/>
    <x v="1"/>
    <x v="10"/>
    <n v="1679"/>
    <n v="17.12"/>
    <n v="3.5"/>
    <x v="360"/>
    <n v="3"/>
    <n v="15"/>
    <n v="1350.9"/>
    <n v="0.86"/>
    <n v="1350.04"/>
  </r>
  <r>
    <s v="5CFAE48E"/>
    <x v="368"/>
    <x v="1"/>
    <s v="CUST5065"/>
    <s v="Kumar Smith"/>
    <s v="Qatar"/>
    <x v="4"/>
    <x v="4"/>
    <x v="6"/>
    <n v="69"/>
    <n v="5.54"/>
    <n v="2.2999999999999998"/>
    <x v="361"/>
    <n v="3"/>
    <n v="17"/>
    <n v="275.91000000000003"/>
    <n v="0.88"/>
    <n v="275.02999999999997"/>
  </r>
  <r>
    <s v="61C650F9"/>
    <x v="369"/>
    <x v="8"/>
    <s v="CUST1670"/>
    <s v="Kumar Sharma"/>
    <s v="Philippines"/>
    <x v="8"/>
    <x v="4"/>
    <x v="5"/>
    <n v="3938"/>
    <n v="37.5"/>
    <n v="3.4"/>
    <x v="362"/>
    <n v="4"/>
    <n v="7"/>
    <n v="523.04"/>
    <n v="3.44"/>
    <n v="519.6"/>
  </r>
  <r>
    <s v="7D837F45"/>
    <x v="370"/>
    <x v="9"/>
    <s v="CUST7687"/>
    <s v="Emily Das"/>
    <s v="Canada"/>
    <x v="2"/>
    <x v="4"/>
    <x v="1"/>
    <n v="452"/>
    <n v="29.35"/>
    <n v="4.5"/>
    <x v="363"/>
    <n v="4"/>
    <n v="18"/>
    <n v="1472.3999999999999"/>
    <n v="6.41"/>
    <n v="1465.99"/>
  </r>
  <r>
    <s v="A3A0BF69"/>
    <x v="365"/>
    <x v="6"/>
    <s v="CUST2523"/>
    <s v="Priya Taylor"/>
    <s v="Singapore"/>
    <x v="1"/>
    <x v="4"/>
    <x v="6"/>
    <n v="626"/>
    <n v="45.27"/>
    <n v="2.2999999999999998"/>
    <x v="22"/>
    <n v="2"/>
    <n v="6"/>
    <n v="318.24"/>
    <n v="2.72"/>
    <n v="315.52"/>
  </r>
  <r>
    <s v="75E5CC57"/>
    <x v="371"/>
    <x v="5"/>
    <s v="CUST3961"/>
    <s v="Sophia Brown"/>
    <s v="New Zealand"/>
    <x v="7"/>
    <x v="3"/>
    <x v="10"/>
    <n v="4202"/>
    <n v="33.75"/>
    <n v="3"/>
    <x v="364"/>
    <n v="1"/>
    <n v="20"/>
    <n v="348.8"/>
    <n v="7.12"/>
    <n v="341.68"/>
  </r>
  <r>
    <s v="89870636"/>
    <x v="372"/>
    <x v="5"/>
    <s v="CUST7405"/>
    <s v="Priya Sharma"/>
    <s v="Australia"/>
    <x v="6"/>
    <x v="2"/>
    <x v="12"/>
    <n v="1695"/>
    <n v="48.85"/>
    <n v="2.9"/>
    <x v="365"/>
    <n v="3"/>
    <n v="5"/>
    <n v="346.8"/>
    <n v="8.41"/>
    <n v="338.39"/>
  </r>
  <r>
    <s v="5FCD3021"/>
    <x v="373"/>
    <x v="2"/>
    <s v="CUST8919"/>
    <s v="John Khan"/>
    <s v="Australia"/>
    <x v="2"/>
    <x v="4"/>
    <x v="2"/>
    <n v="4623"/>
    <n v="41.2"/>
    <n v="1.6"/>
    <x v="366"/>
    <n v="5"/>
    <n v="6"/>
    <n v="798.30000000000007"/>
    <n v="3.99"/>
    <n v="794.31"/>
  </r>
  <r>
    <s v="6A8EA3CB"/>
    <x v="374"/>
    <x v="6"/>
    <s v="CUST7178"/>
    <s v="Ravi Brown"/>
    <s v="South Africa"/>
    <x v="8"/>
    <x v="2"/>
    <x v="9"/>
    <n v="730"/>
    <n v="25.56"/>
    <n v="1.4"/>
    <x v="367"/>
    <n v="5"/>
    <n v="2"/>
    <n v="213.29999999999998"/>
    <n v="2.2000000000000002"/>
    <n v="211.1"/>
  </r>
  <r>
    <s v="113608C6"/>
    <x v="175"/>
    <x v="8"/>
    <s v="CUST4469"/>
    <s v="Priya Lee"/>
    <s v="Brazil"/>
    <x v="5"/>
    <x v="2"/>
    <x v="9"/>
    <n v="3838"/>
    <n v="37.33"/>
    <n v="2"/>
    <x v="368"/>
    <n v="2"/>
    <n v="11"/>
    <n v="390.5"/>
    <n v="6.91"/>
    <n v="383.59"/>
  </r>
  <r>
    <s v="33183A9B"/>
    <x v="375"/>
    <x v="0"/>
    <s v="CUST6708"/>
    <s v="Sara Brown"/>
    <s v="Philippines"/>
    <x v="8"/>
    <x v="0"/>
    <x v="6"/>
    <n v="2561"/>
    <n v="12.45"/>
    <n v="4.5999999999999996"/>
    <x v="369"/>
    <n v="5"/>
    <n v="11"/>
    <n v="1581.25"/>
    <n v="7.96"/>
    <n v="1573.29"/>
  </r>
  <r>
    <s v="0FCF0AFE"/>
    <x v="376"/>
    <x v="2"/>
    <s v="CUST9718"/>
    <s v="John Singh"/>
    <s v="Canada"/>
    <x v="0"/>
    <x v="0"/>
    <x v="12"/>
    <n v="728"/>
    <n v="17.34"/>
    <n v="2.9"/>
    <x v="269"/>
    <n v="5"/>
    <n v="18"/>
    <n v="1015.1999999999999"/>
    <n v="1.22"/>
    <n v="1013.98"/>
  </r>
  <r>
    <s v="15AB2129"/>
    <x v="377"/>
    <x v="1"/>
    <s v="CUST9460"/>
    <s v="Sophia Sharma"/>
    <s v="Qatar"/>
    <x v="0"/>
    <x v="1"/>
    <x v="3"/>
    <n v="3511"/>
    <n v="20.86"/>
    <n v="1.2"/>
    <x v="370"/>
    <n v="3"/>
    <n v="18"/>
    <n v="2047.68"/>
    <n v="2.59"/>
    <n v="2045.09"/>
  </r>
  <r>
    <s v="1E3D9509"/>
    <x v="378"/>
    <x v="1"/>
    <s v="CUST9490"/>
    <s v="Anita Patel"/>
    <s v="Philippines"/>
    <x v="7"/>
    <x v="4"/>
    <x v="7"/>
    <n v="794"/>
    <n v="12.87"/>
    <n v="1.3"/>
    <x v="371"/>
    <n v="4"/>
    <n v="15"/>
    <n v="2274.6"/>
    <n v="8.9499999999999993"/>
    <n v="2265.65"/>
  </r>
  <r>
    <s v="283E7D8F"/>
    <x v="379"/>
    <x v="4"/>
    <s v="CUST7999"/>
    <s v="Kumar Sharma"/>
    <s v="Philippines"/>
    <x v="3"/>
    <x v="1"/>
    <x v="11"/>
    <n v="2207"/>
    <n v="24.5"/>
    <n v="4.4000000000000004"/>
    <x v="372"/>
    <n v="4"/>
    <n v="12"/>
    <n v="526.08000000000004"/>
    <n v="9.67"/>
    <n v="516.41"/>
  </r>
  <r>
    <s v="043A6E1F"/>
    <x v="380"/>
    <x v="8"/>
    <s v="CUST9325"/>
    <s v="Ravi Singh"/>
    <s v="South Africa"/>
    <x v="1"/>
    <x v="1"/>
    <x v="12"/>
    <n v="2877"/>
    <n v="42.55"/>
    <n v="3.8"/>
    <x v="373"/>
    <n v="2"/>
    <n v="15"/>
    <n v="396.3"/>
    <n v="0.97"/>
    <n v="395.33"/>
  </r>
  <r>
    <s v="53824979"/>
    <x v="301"/>
    <x v="3"/>
    <s v="CUST8882"/>
    <s v="Priya Brown"/>
    <s v="South Africa"/>
    <x v="2"/>
    <x v="0"/>
    <x v="6"/>
    <n v="2601"/>
    <n v="36.36"/>
    <n v="4.2"/>
    <x v="374"/>
    <n v="4"/>
    <n v="13"/>
    <n v="525.72"/>
    <n v="8.1"/>
    <n v="517.62"/>
  </r>
  <r>
    <s v="935EB149"/>
    <x v="185"/>
    <x v="8"/>
    <s v="CUST4427"/>
    <s v="Sophia Brown"/>
    <s v="New Zealand"/>
    <x v="0"/>
    <x v="4"/>
    <x v="3"/>
    <n v="1545"/>
    <n v="26.71"/>
    <n v="3.3"/>
    <x v="375"/>
    <n v="3"/>
    <n v="20"/>
    <n v="1487.4"/>
    <n v="2.16"/>
    <n v="1485.24"/>
  </r>
  <r>
    <s v="6847ACCC"/>
    <x v="381"/>
    <x v="5"/>
    <s v="CUST5334"/>
    <s v="Ahmed Singh"/>
    <s v="South Africa"/>
    <x v="2"/>
    <x v="0"/>
    <x v="14"/>
    <n v="2029"/>
    <n v="19.440000000000001"/>
    <n v="4.5999999999999996"/>
    <x v="376"/>
    <n v="2"/>
    <n v="2"/>
    <n v="132.76"/>
    <n v="8.8699999999999992"/>
    <n v="123.89"/>
  </r>
  <r>
    <s v="AD3D7D39"/>
    <x v="382"/>
    <x v="0"/>
    <s v="CUST3216"/>
    <s v="Priya Khan"/>
    <s v="Indonesia"/>
    <x v="6"/>
    <x v="0"/>
    <x v="8"/>
    <n v="1827"/>
    <n v="7.96"/>
    <n v="2.2000000000000002"/>
    <x v="377"/>
    <n v="5"/>
    <n v="11"/>
    <n v="584.09999999999991"/>
    <n v="9.3800000000000008"/>
    <n v="574.72"/>
  </r>
  <r>
    <s v="EB2C7CD6"/>
    <x v="383"/>
    <x v="6"/>
    <s v="CUST4688"/>
    <s v="Ravi Lee"/>
    <s v="Singapore"/>
    <x v="6"/>
    <x v="4"/>
    <x v="9"/>
    <n v="1474"/>
    <n v="12.17"/>
    <n v="4.0999999999999996"/>
    <x v="378"/>
    <n v="2"/>
    <n v="6"/>
    <n v="255.84"/>
    <n v="8.64"/>
    <n v="247.2"/>
  </r>
  <r>
    <s v="F4C28D9B"/>
    <x v="384"/>
    <x v="9"/>
    <s v="CUST8639"/>
    <s v="Kumar Singh"/>
    <s v="Qatar"/>
    <x v="3"/>
    <x v="1"/>
    <x v="1"/>
    <n v="709"/>
    <n v="43.88"/>
    <n v="3.4"/>
    <x v="379"/>
    <n v="3"/>
    <n v="16"/>
    <n v="348"/>
    <n v="4.16"/>
    <n v="343.84"/>
  </r>
  <r>
    <s v="24E36F00"/>
    <x v="385"/>
    <x v="8"/>
    <s v="CUST3704"/>
    <s v="Emily Singh"/>
    <s v="Philippines"/>
    <x v="5"/>
    <x v="2"/>
    <x v="4"/>
    <n v="4261"/>
    <n v="46.55"/>
    <n v="5"/>
    <x v="380"/>
    <n v="5"/>
    <n v="12"/>
    <n v="1795.8000000000002"/>
    <n v="5.05"/>
    <n v="1790.75"/>
  </r>
  <r>
    <s v="E2C7B081"/>
    <x v="386"/>
    <x v="4"/>
    <s v="CUST2069"/>
    <s v="David Smith"/>
    <s v="Canada"/>
    <x v="3"/>
    <x v="4"/>
    <x v="1"/>
    <n v="1118"/>
    <n v="7.77"/>
    <n v="3.5"/>
    <x v="381"/>
    <n v="4"/>
    <n v="9"/>
    <n v="512.28"/>
    <n v="3.23"/>
    <n v="509.05"/>
  </r>
  <r>
    <s v="A4D7D3EC"/>
    <x v="51"/>
    <x v="7"/>
    <s v="CUST3252"/>
    <s v="Sara Garcia"/>
    <s v="Canada"/>
    <x v="3"/>
    <x v="4"/>
    <x v="4"/>
    <n v="4031"/>
    <n v="49.17"/>
    <n v="4.0999999999999996"/>
    <x v="295"/>
    <n v="2"/>
    <n v="6"/>
    <n v="73.800000000000011"/>
    <n v="8.49"/>
    <n v="65.31"/>
  </r>
  <r>
    <s v="54FA9647"/>
    <x v="387"/>
    <x v="8"/>
    <s v="CUST2141"/>
    <s v="Priya Brown"/>
    <s v="Australia"/>
    <x v="3"/>
    <x v="3"/>
    <x v="14"/>
    <n v="2379"/>
    <n v="23.84"/>
    <n v="4.4000000000000004"/>
    <x v="382"/>
    <n v="2"/>
    <n v="16"/>
    <n v="471.36"/>
    <n v="2.83"/>
    <n v="468.53"/>
  </r>
  <r>
    <s v="5B6B0533"/>
    <x v="388"/>
    <x v="3"/>
    <s v="CUST1709"/>
    <s v="John Khan"/>
    <s v="Philippines"/>
    <x v="2"/>
    <x v="2"/>
    <x v="13"/>
    <n v="1126"/>
    <n v="29.57"/>
    <n v="4.4000000000000004"/>
    <x v="383"/>
    <n v="3"/>
    <n v="10"/>
    <n v="1035.5999999999999"/>
    <n v="0.73"/>
    <n v="1034.8699999999999"/>
  </r>
  <r>
    <s v="5A784D50"/>
    <x v="389"/>
    <x v="4"/>
    <s v="CUST1723"/>
    <s v="Priya Singh"/>
    <s v="South Africa"/>
    <x v="3"/>
    <x v="1"/>
    <x v="10"/>
    <n v="3644"/>
    <n v="38.4"/>
    <n v="5"/>
    <x v="384"/>
    <n v="1"/>
    <n v="16"/>
    <n v="302.39999999999998"/>
    <n v="9.42"/>
    <n v="292.98"/>
  </r>
  <r>
    <s v="F1378A02"/>
    <x v="390"/>
    <x v="5"/>
    <s v="CUST2220"/>
    <s v="John Lee"/>
    <s v="India"/>
    <x v="6"/>
    <x v="0"/>
    <x v="10"/>
    <n v="4692"/>
    <n v="27.18"/>
    <n v="4.8"/>
    <x v="385"/>
    <n v="1"/>
    <n v="18"/>
    <n v="193.14000000000001"/>
    <n v="6.77"/>
    <n v="186.37"/>
  </r>
  <r>
    <s v="4824DAAB"/>
    <x v="391"/>
    <x v="7"/>
    <s v="CUST6619"/>
    <s v="Kumar Brown"/>
    <s v="Singapore"/>
    <x v="0"/>
    <x v="2"/>
    <x v="1"/>
    <n v="4320"/>
    <n v="17.77"/>
    <n v="1.5"/>
    <x v="386"/>
    <n v="5"/>
    <n v="7"/>
    <n v="1240.3999999999999"/>
    <n v="4.3899999999999997"/>
    <n v="1236.01"/>
  </r>
  <r>
    <s v="0603450F"/>
    <x v="392"/>
    <x v="2"/>
    <s v="CUST3968"/>
    <s v="Emily Singh"/>
    <s v="Qatar"/>
    <x v="1"/>
    <x v="2"/>
    <x v="7"/>
    <n v="2437"/>
    <n v="21.38"/>
    <n v="3.1"/>
    <x v="387"/>
    <n v="3"/>
    <n v="7"/>
    <n v="471.44999999999993"/>
    <n v="2.17"/>
    <n v="469.28"/>
  </r>
  <r>
    <s v="10C60362"/>
    <x v="393"/>
    <x v="7"/>
    <s v="CUST1801"/>
    <s v="John Garcia"/>
    <s v="Canada"/>
    <x v="2"/>
    <x v="0"/>
    <x v="2"/>
    <n v="3720"/>
    <n v="43.68"/>
    <n v="4.7"/>
    <x v="388"/>
    <n v="5"/>
    <n v="17"/>
    <n v="3142.45"/>
    <n v="3.49"/>
    <n v="3138.96"/>
  </r>
  <r>
    <s v="1A5BFCF5"/>
    <x v="394"/>
    <x v="4"/>
    <s v="CUST7049"/>
    <s v="Ahmed Khan"/>
    <s v="Singapore"/>
    <x v="6"/>
    <x v="4"/>
    <x v="3"/>
    <n v="4279"/>
    <n v="15.3"/>
    <n v="1.6"/>
    <x v="389"/>
    <n v="1"/>
    <n v="20"/>
    <n v="685.19999999999993"/>
    <n v="3.21"/>
    <n v="681.99"/>
  </r>
  <r>
    <s v="7FEE6424"/>
    <x v="395"/>
    <x v="5"/>
    <s v="CUST4941"/>
    <s v="John Smith"/>
    <s v="Brazil"/>
    <x v="3"/>
    <x v="2"/>
    <x v="10"/>
    <n v="3180"/>
    <n v="44.35"/>
    <n v="3.5"/>
    <x v="390"/>
    <n v="4"/>
    <n v="16"/>
    <n v="2021.12"/>
    <n v="0.24"/>
    <n v="2020.88"/>
  </r>
  <r>
    <s v="FCD2315D"/>
    <x v="396"/>
    <x v="5"/>
    <s v="CUST2253"/>
    <s v="Ravi Lee"/>
    <s v="Qatar"/>
    <x v="6"/>
    <x v="4"/>
    <x v="11"/>
    <n v="76"/>
    <n v="7.39"/>
    <n v="2.2999999999999998"/>
    <x v="391"/>
    <n v="4"/>
    <n v="19"/>
    <n v="1095.92"/>
    <n v="9.8000000000000007"/>
    <n v="1086.1199999999999"/>
  </r>
  <r>
    <s v="68B57165"/>
    <x v="397"/>
    <x v="3"/>
    <s v="CUST4195"/>
    <s v="Sophia Brown"/>
    <s v="Indonesia"/>
    <x v="2"/>
    <x v="4"/>
    <x v="1"/>
    <n v="1124"/>
    <n v="24.9"/>
    <n v="3.7"/>
    <x v="392"/>
    <n v="3"/>
    <n v="14"/>
    <n v="313.32"/>
    <n v="0.65"/>
    <n v="312.67"/>
  </r>
  <r>
    <s v="87F343D7"/>
    <x v="398"/>
    <x v="0"/>
    <s v="CUST2729"/>
    <s v="Ravi Khan"/>
    <s v="Singapore"/>
    <x v="8"/>
    <x v="3"/>
    <x v="9"/>
    <n v="2852"/>
    <n v="29.77"/>
    <n v="3.4"/>
    <x v="393"/>
    <n v="2"/>
    <n v="2"/>
    <n v="124.56"/>
    <n v="2.75"/>
    <n v="121.81"/>
  </r>
  <r>
    <s v="874DA5C2"/>
    <x v="399"/>
    <x v="4"/>
    <s v="CUST9091"/>
    <s v="Sara Taylor"/>
    <s v="South Africa"/>
    <x v="0"/>
    <x v="1"/>
    <x v="12"/>
    <n v="4918"/>
    <n v="14.28"/>
    <n v="4.2"/>
    <x v="394"/>
    <n v="4"/>
    <n v="18"/>
    <n v="1751.7599999999998"/>
    <n v="0.71"/>
    <n v="1751.05"/>
  </r>
  <r>
    <s v="46BBC063"/>
    <x v="400"/>
    <x v="3"/>
    <s v="CUST8067"/>
    <s v="John Patel"/>
    <s v="Indonesia"/>
    <x v="2"/>
    <x v="3"/>
    <x v="13"/>
    <n v="4275"/>
    <n v="17.13"/>
    <n v="3.8"/>
    <x v="293"/>
    <n v="4"/>
    <n v="17"/>
    <n v="2487.44"/>
    <n v="4.28"/>
    <n v="2483.16"/>
  </r>
  <r>
    <s v="FBBBAAAB"/>
    <x v="401"/>
    <x v="0"/>
    <s v="CUST6248"/>
    <s v="Anita Brown"/>
    <s v="India"/>
    <x v="6"/>
    <x v="0"/>
    <x v="1"/>
    <n v="4524"/>
    <n v="6.36"/>
    <n v="3.3"/>
    <x v="395"/>
    <n v="5"/>
    <n v="16"/>
    <n v="1320"/>
    <n v="1.1499999999999999"/>
    <n v="1318.85"/>
  </r>
  <r>
    <s v="21AB808D"/>
    <x v="402"/>
    <x v="6"/>
    <s v="CUST6811"/>
    <s v="Sophia Patel"/>
    <s v="Australia"/>
    <x v="2"/>
    <x v="3"/>
    <x v="3"/>
    <n v="790"/>
    <n v="20.6"/>
    <n v="2.2999999999999998"/>
    <x v="265"/>
    <n v="2"/>
    <n v="9"/>
    <n v="676.08"/>
    <n v="9.7200000000000006"/>
    <n v="666.36"/>
  </r>
  <r>
    <s v="0708CBBF"/>
    <x v="403"/>
    <x v="1"/>
    <s v="CUST1702"/>
    <s v="Kumar Singh"/>
    <s v="Philippines"/>
    <x v="1"/>
    <x v="0"/>
    <x v="13"/>
    <n v="3053"/>
    <n v="47.57"/>
    <n v="4.4000000000000004"/>
    <x v="396"/>
    <n v="4"/>
    <n v="20"/>
    <n v="2713.6000000000004"/>
    <n v="7.3"/>
    <n v="2706.3"/>
  </r>
  <r>
    <s v="F9C1AC77"/>
    <x v="404"/>
    <x v="2"/>
    <s v="CUST6529"/>
    <s v="Ahmed Sharma"/>
    <s v="India"/>
    <x v="6"/>
    <x v="0"/>
    <x v="14"/>
    <n v="660"/>
    <n v="35.04"/>
    <n v="3.5"/>
    <x v="397"/>
    <n v="5"/>
    <n v="16"/>
    <n v="3164.8"/>
    <n v="3.23"/>
    <n v="3161.57"/>
  </r>
  <r>
    <s v="BCEFF223"/>
    <x v="405"/>
    <x v="7"/>
    <s v="CUST5154"/>
    <s v="Emily Patel"/>
    <s v="South Africa"/>
    <x v="0"/>
    <x v="4"/>
    <x v="12"/>
    <n v="2533"/>
    <n v="32.76"/>
    <n v="2.1"/>
    <x v="398"/>
    <n v="3"/>
    <n v="17"/>
    <n v="993.48"/>
    <n v="4.4000000000000004"/>
    <n v="989.08"/>
  </r>
  <r>
    <s v="C7325674"/>
    <x v="307"/>
    <x v="2"/>
    <s v="CUST8426"/>
    <s v="John Das"/>
    <s v="Australia"/>
    <x v="4"/>
    <x v="1"/>
    <x v="1"/>
    <n v="3484"/>
    <n v="29.35"/>
    <n v="3.3"/>
    <x v="399"/>
    <n v="2"/>
    <n v="18"/>
    <n v="293.04000000000002"/>
    <n v="8.77"/>
    <n v="284.27"/>
  </r>
  <r>
    <s v="031DB3AB"/>
    <x v="406"/>
    <x v="6"/>
    <s v="CUST1298"/>
    <s v="Priya Lee"/>
    <s v="Singapore"/>
    <x v="0"/>
    <x v="3"/>
    <x v="2"/>
    <n v="3407"/>
    <n v="39.15"/>
    <n v="4.9000000000000004"/>
    <x v="400"/>
    <n v="2"/>
    <n v="20"/>
    <n v="1401.2"/>
    <n v="5.09"/>
    <n v="1396.11"/>
  </r>
  <r>
    <s v="9FB57ECF"/>
    <x v="407"/>
    <x v="5"/>
    <s v="CUST7516"/>
    <s v="Sara Patel"/>
    <s v="Brazil"/>
    <x v="4"/>
    <x v="1"/>
    <x v="0"/>
    <n v="3359"/>
    <n v="39.26"/>
    <n v="3.2"/>
    <x v="401"/>
    <n v="2"/>
    <n v="18"/>
    <n v="951.84"/>
    <n v="0.2"/>
    <n v="951.64"/>
  </r>
  <r>
    <s v="6CB2B2B0"/>
    <x v="408"/>
    <x v="3"/>
    <s v="CUST5902"/>
    <s v="Kumar Garcia"/>
    <s v="Singapore"/>
    <x v="1"/>
    <x v="2"/>
    <x v="12"/>
    <n v="1920"/>
    <n v="21.42"/>
    <n v="2.2000000000000002"/>
    <x v="402"/>
    <n v="2"/>
    <n v="6"/>
    <n v="297.95999999999998"/>
    <n v="1.72"/>
    <n v="296.24"/>
  </r>
  <r>
    <s v="773478BB"/>
    <x v="409"/>
    <x v="1"/>
    <s v="CUST6955"/>
    <s v="Emily Taylor"/>
    <s v="New Zealand"/>
    <x v="0"/>
    <x v="1"/>
    <x v="0"/>
    <n v="557"/>
    <n v="46.07"/>
    <n v="3.9"/>
    <x v="403"/>
    <n v="1"/>
    <n v="15"/>
    <n v="581.4"/>
    <n v="0.23"/>
    <n v="581.16999999999996"/>
  </r>
  <r>
    <s v="D210009A"/>
    <x v="410"/>
    <x v="6"/>
    <s v="CUST7357"/>
    <s v="John Khan"/>
    <s v="New Zealand"/>
    <x v="8"/>
    <x v="3"/>
    <x v="9"/>
    <n v="1978"/>
    <n v="28.75"/>
    <n v="1.2"/>
    <x v="226"/>
    <n v="3"/>
    <n v="15"/>
    <n v="1602.45"/>
    <n v="0.65"/>
    <n v="1601.8"/>
  </r>
  <r>
    <s v="536CABFA"/>
    <x v="411"/>
    <x v="3"/>
    <s v="CUST7592"/>
    <s v="Emily Patel"/>
    <s v="India"/>
    <x v="4"/>
    <x v="0"/>
    <x v="11"/>
    <n v="4353"/>
    <n v="15.51"/>
    <n v="2.6"/>
    <x v="404"/>
    <n v="1"/>
    <n v="8"/>
    <n v="98.08"/>
    <n v="7.07"/>
    <n v="91.01"/>
  </r>
  <r>
    <s v="0DC16BC1"/>
    <x v="412"/>
    <x v="3"/>
    <s v="CUST7623"/>
    <s v="David Das"/>
    <s v="Brazil"/>
    <x v="7"/>
    <x v="0"/>
    <x v="13"/>
    <n v="1055"/>
    <n v="44.14"/>
    <n v="3.1"/>
    <x v="405"/>
    <n v="5"/>
    <n v="2"/>
    <n v="233.5"/>
    <n v="7.63"/>
    <n v="225.87"/>
  </r>
  <r>
    <s v="1FEEB2A5"/>
    <x v="413"/>
    <x v="2"/>
    <s v="CUST8326"/>
    <s v="Ahmed Garcia"/>
    <s v="Indonesia"/>
    <x v="3"/>
    <x v="1"/>
    <x v="9"/>
    <n v="1414"/>
    <n v="28.16"/>
    <n v="4.2"/>
    <x v="406"/>
    <n v="3"/>
    <n v="7"/>
    <n v="806.82"/>
    <n v="7.88"/>
    <n v="798.94"/>
  </r>
  <r>
    <s v="F73F8165"/>
    <x v="166"/>
    <x v="0"/>
    <s v="CUST6101"/>
    <s v="Kumar Taylor"/>
    <s v="New Zealand"/>
    <x v="5"/>
    <x v="3"/>
    <x v="4"/>
    <n v="4376"/>
    <n v="40.67"/>
    <n v="1.2"/>
    <x v="407"/>
    <n v="4"/>
    <n v="6"/>
    <n v="259.68"/>
    <n v="7.27"/>
    <n v="252.41"/>
  </r>
  <r>
    <s v="5BEF8764"/>
    <x v="414"/>
    <x v="9"/>
    <s v="CUST5979"/>
    <s v="John Sharma"/>
    <s v="India"/>
    <x v="1"/>
    <x v="4"/>
    <x v="8"/>
    <n v="4979"/>
    <n v="35.46"/>
    <n v="4.4000000000000004"/>
    <x v="408"/>
    <n v="5"/>
    <n v="4"/>
    <n v="186.4"/>
    <n v="5.6"/>
    <n v="180.8"/>
  </r>
  <r>
    <s v="7971EA79"/>
    <x v="415"/>
    <x v="2"/>
    <s v="CUST9569"/>
    <s v="Ahmed Patel"/>
    <s v="Canada"/>
    <x v="0"/>
    <x v="0"/>
    <x v="10"/>
    <n v="1501"/>
    <n v="12.58"/>
    <n v="4.4000000000000004"/>
    <x v="409"/>
    <n v="2"/>
    <n v="10"/>
    <n v="628.80000000000007"/>
    <n v="4.38"/>
    <n v="624.41999999999996"/>
  </r>
  <r>
    <s v="1B8B8F67"/>
    <x v="416"/>
    <x v="0"/>
    <s v="CUST3402"/>
    <s v="John Taylor"/>
    <s v="South Africa"/>
    <x v="1"/>
    <x v="0"/>
    <x v="5"/>
    <n v="2347"/>
    <n v="38.590000000000003"/>
    <n v="4.2"/>
    <x v="410"/>
    <n v="5"/>
    <n v="6"/>
    <n v="687.90000000000009"/>
    <n v="2.54"/>
    <n v="685.36"/>
  </r>
  <r>
    <s v="DE13B2A1"/>
    <x v="417"/>
    <x v="3"/>
    <s v="CUST6891"/>
    <s v="Sara Taylor"/>
    <s v="Canada"/>
    <x v="5"/>
    <x v="3"/>
    <x v="5"/>
    <n v="3239"/>
    <n v="15.67"/>
    <n v="3.4"/>
    <x v="411"/>
    <n v="2"/>
    <n v="11"/>
    <n v="878.24"/>
    <n v="0.11"/>
    <n v="878.13"/>
  </r>
  <r>
    <s v="DEFA0C3A"/>
    <x v="418"/>
    <x v="4"/>
    <s v="CUST1713"/>
    <s v="Ravi Smith"/>
    <s v="Singapore"/>
    <x v="3"/>
    <x v="1"/>
    <x v="5"/>
    <n v="2049"/>
    <n v="41.15"/>
    <n v="1.3"/>
    <x v="412"/>
    <n v="2"/>
    <n v="3"/>
    <n v="87.6"/>
    <n v="4.7"/>
    <n v="82.9"/>
  </r>
  <r>
    <s v="A9746652"/>
    <x v="419"/>
    <x v="7"/>
    <s v="CUST2082"/>
    <s v="Emily Singh"/>
    <s v="India"/>
    <x v="1"/>
    <x v="0"/>
    <x v="8"/>
    <n v="999"/>
    <n v="46.63"/>
    <n v="3"/>
    <x v="101"/>
    <n v="1"/>
    <n v="17"/>
    <n v="445.4"/>
    <n v="8.59"/>
    <n v="436.81"/>
  </r>
  <r>
    <s v="EC132DC8"/>
    <x v="420"/>
    <x v="3"/>
    <s v="CUST4772"/>
    <s v="John Smith"/>
    <s v="Singapore"/>
    <x v="3"/>
    <x v="0"/>
    <x v="9"/>
    <n v="478"/>
    <n v="39.89"/>
    <n v="3.9"/>
    <x v="413"/>
    <n v="5"/>
    <n v="7"/>
    <n v="889.7"/>
    <n v="7.23"/>
    <n v="882.47"/>
  </r>
  <r>
    <s v="3675A7F6"/>
    <x v="421"/>
    <x v="8"/>
    <s v="CUST5474"/>
    <s v="Anita Khan"/>
    <s v="Qatar"/>
    <x v="8"/>
    <x v="2"/>
    <x v="10"/>
    <n v="4898"/>
    <n v="19.329999999999998"/>
    <n v="1.4"/>
    <x v="414"/>
    <n v="1"/>
    <n v="8"/>
    <n v="167.36"/>
    <n v="5.13"/>
    <n v="162.22999999999999"/>
  </r>
  <r>
    <s v="6FBB27E7"/>
    <x v="422"/>
    <x v="8"/>
    <s v="CUST8514"/>
    <s v="John Taylor"/>
    <s v="New Zealand"/>
    <x v="5"/>
    <x v="4"/>
    <x v="3"/>
    <n v="4528"/>
    <n v="17.73"/>
    <n v="1.2"/>
    <x v="415"/>
    <n v="1"/>
    <n v="10"/>
    <n v="95.399999999999991"/>
    <n v="9.93"/>
    <n v="85.47"/>
  </r>
  <r>
    <s v="8141B9FE"/>
    <x v="423"/>
    <x v="3"/>
    <s v="CUST7704"/>
    <s v="John Khan"/>
    <s v="New Zealand"/>
    <x v="3"/>
    <x v="0"/>
    <x v="14"/>
    <n v="3386"/>
    <n v="29.04"/>
    <n v="4.7"/>
    <x v="416"/>
    <n v="4"/>
    <n v="7"/>
    <n v="263.76"/>
    <n v="5.61"/>
    <n v="258.14999999999998"/>
  </r>
  <r>
    <s v="1E2096DA"/>
    <x v="424"/>
    <x v="4"/>
    <s v="CUST4509"/>
    <s v="Sophia Lee"/>
    <s v="Canada"/>
    <x v="6"/>
    <x v="2"/>
    <x v="9"/>
    <n v="3853"/>
    <n v="35.15"/>
    <n v="2"/>
    <x v="417"/>
    <n v="5"/>
    <n v="14"/>
    <n v="2635.5"/>
    <n v="9.35"/>
    <n v="2626.15"/>
  </r>
  <r>
    <s v="74B37B77"/>
    <x v="425"/>
    <x v="2"/>
    <s v="CUST1900"/>
    <s v="Ravi Das"/>
    <s v="South Africa"/>
    <x v="3"/>
    <x v="4"/>
    <x v="5"/>
    <n v="3511"/>
    <n v="24.07"/>
    <n v="3.3"/>
    <x v="418"/>
    <n v="2"/>
    <n v="15"/>
    <n v="231"/>
    <n v="2.3199999999999998"/>
    <n v="228.68"/>
  </r>
  <r>
    <s v="74834014"/>
    <x v="426"/>
    <x v="0"/>
    <s v="CUST5081"/>
    <s v="Anita Sharma"/>
    <s v="Indonesia"/>
    <x v="3"/>
    <x v="3"/>
    <x v="10"/>
    <n v="3502"/>
    <n v="37.840000000000003"/>
    <n v="2.2999999999999998"/>
    <x v="419"/>
    <n v="3"/>
    <n v="10"/>
    <n v="1176.3"/>
    <n v="0.21"/>
    <n v="1176.0899999999999"/>
  </r>
  <r>
    <s v="5369E487"/>
    <x v="427"/>
    <x v="9"/>
    <s v="CUST2265"/>
    <s v="John Khan"/>
    <s v="Indonesia"/>
    <x v="4"/>
    <x v="2"/>
    <x v="14"/>
    <n v="2837"/>
    <n v="24.78"/>
    <n v="4.5999999999999996"/>
    <x v="420"/>
    <n v="3"/>
    <n v="19"/>
    <n v="1578.3300000000002"/>
    <n v="1.22"/>
    <n v="1577.11"/>
  </r>
  <r>
    <s v="51C42B74"/>
    <x v="428"/>
    <x v="3"/>
    <s v="CUST6005"/>
    <s v="Anita Garcia"/>
    <s v="Singapore"/>
    <x v="0"/>
    <x v="1"/>
    <x v="9"/>
    <n v="1733"/>
    <n v="45.49"/>
    <n v="2"/>
    <x v="421"/>
    <n v="1"/>
    <n v="14"/>
    <n v="525.69999999999993"/>
    <n v="5.01"/>
    <n v="520.69000000000005"/>
  </r>
  <r>
    <s v="5EC01FE2"/>
    <x v="50"/>
    <x v="9"/>
    <s v="CUST4881"/>
    <s v="Priya Sharma"/>
    <s v="Singapore"/>
    <x v="8"/>
    <x v="1"/>
    <x v="9"/>
    <n v="658"/>
    <n v="41.51"/>
    <n v="3.6"/>
    <x v="422"/>
    <n v="4"/>
    <n v="8"/>
    <n v="402.56"/>
    <n v="8.9700000000000006"/>
    <n v="393.59"/>
  </r>
  <r>
    <s v="36506687"/>
    <x v="429"/>
    <x v="3"/>
    <s v="CUST3205"/>
    <s v="David Patel"/>
    <s v="Brazil"/>
    <x v="0"/>
    <x v="0"/>
    <x v="4"/>
    <n v="3700"/>
    <n v="11.62"/>
    <n v="2"/>
    <x v="423"/>
    <n v="4"/>
    <n v="12"/>
    <n v="1301.76"/>
    <n v="7.23"/>
    <n v="1294.53"/>
  </r>
  <r>
    <s v="6F1FF3AD"/>
    <x v="220"/>
    <x v="0"/>
    <s v="CUST9318"/>
    <s v="Emily Smith"/>
    <s v="Philippines"/>
    <x v="8"/>
    <x v="2"/>
    <x v="4"/>
    <n v="1835"/>
    <n v="17.420000000000002"/>
    <n v="2.5"/>
    <x v="424"/>
    <n v="4"/>
    <n v="15"/>
    <n v="2077.1999999999998"/>
    <n v="0.88"/>
    <n v="2076.3200000000002"/>
  </r>
  <r>
    <s v="163AF736"/>
    <x v="430"/>
    <x v="1"/>
    <s v="CUST9781"/>
    <s v="Ravi Garcia"/>
    <s v="Qatar"/>
    <x v="5"/>
    <x v="4"/>
    <x v="7"/>
    <n v="4921"/>
    <n v="5.36"/>
    <n v="3.2"/>
    <x v="425"/>
    <n v="2"/>
    <n v="2"/>
    <n v="20.399999999999999"/>
    <n v="0.59"/>
    <n v="19.809999999999999"/>
  </r>
  <r>
    <s v="EF68350C"/>
    <x v="431"/>
    <x v="3"/>
    <s v="CUST4769"/>
    <s v="John Sharma"/>
    <s v="New Zealand"/>
    <x v="1"/>
    <x v="4"/>
    <x v="12"/>
    <n v="4934"/>
    <n v="44.25"/>
    <n v="4"/>
    <x v="426"/>
    <n v="1"/>
    <n v="11"/>
    <n v="89.1"/>
    <n v="0.46"/>
    <n v="88.64"/>
  </r>
  <r>
    <s v="98DB4AE5"/>
    <x v="0"/>
    <x v="5"/>
    <s v="CUST6712"/>
    <s v="Ravi Garcia"/>
    <s v="New Zealand"/>
    <x v="5"/>
    <x v="1"/>
    <x v="4"/>
    <n v="4686"/>
    <n v="20.49"/>
    <n v="4.9000000000000004"/>
    <x v="427"/>
    <n v="2"/>
    <n v="8"/>
    <n v="128"/>
    <n v="5.09"/>
    <n v="122.91"/>
  </r>
  <r>
    <s v="9737AD5D"/>
    <x v="432"/>
    <x v="4"/>
    <s v="CUST6794"/>
    <s v="Sara Garcia"/>
    <s v="India"/>
    <x v="4"/>
    <x v="0"/>
    <x v="0"/>
    <n v="2612"/>
    <n v="28.14"/>
    <n v="2.9"/>
    <x v="428"/>
    <n v="3"/>
    <n v="20"/>
    <n v="1858.8"/>
    <n v="9.5299999999999994"/>
    <n v="1849.27"/>
  </r>
  <r>
    <s v="9E3A05EA"/>
    <x v="104"/>
    <x v="9"/>
    <s v="CUST6834"/>
    <s v="Anita Das"/>
    <s v="Brazil"/>
    <x v="6"/>
    <x v="1"/>
    <x v="10"/>
    <n v="3101"/>
    <n v="36.24"/>
    <n v="3.6"/>
    <x v="429"/>
    <n v="1"/>
    <n v="7"/>
    <n v="235.90000000000003"/>
    <n v="0.1"/>
    <n v="235.8"/>
  </r>
  <r>
    <s v="85D2AD24"/>
    <x v="433"/>
    <x v="8"/>
    <s v="CUST7330"/>
    <s v="Sophia Singh"/>
    <s v="Australia"/>
    <x v="5"/>
    <x v="1"/>
    <x v="3"/>
    <n v="2496"/>
    <n v="29.17"/>
    <n v="4.2"/>
    <x v="430"/>
    <n v="3"/>
    <n v="14"/>
    <n v="394.80000000000007"/>
    <n v="5.0999999999999996"/>
    <n v="389.7"/>
  </r>
  <r>
    <s v="65F601AF"/>
    <x v="434"/>
    <x v="2"/>
    <s v="CUST7685"/>
    <s v="Sophia Das"/>
    <s v="Indonesia"/>
    <x v="5"/>
    <x v="0"/>
    <x v="5"/>
    <n v="388"/>
    <n v="45.15"/>
    <n v="3.5"/>
    <x v="431"/>
    <n v="1"/>
    <n v="16"/>
    <n v="124.64"/>
    <n v="4.93"/>
    <n v="119.71"/>
  </r>
  <r>
    <s v="A4D8D668"/>
    <x v="435"/>
    <x v="3"/>
    <s v="CUST5676"/>
    <s v="Ahmed Khan"/>
    <s v="South Africa"/>
    <x v="7"/>
    <x v="2"/>
    <x v="1"/>
    <n v="176"/>
    <n v="37.36"/>
    <n v="1.3"/>
    <x v="432"/>
    <n v="1"/>
    <n v="14"/>
    <n v="342.02"/>
    <n v="7.15"/>
    <n v="334.87"/>
  </r>
  <r>
    <s v="40862B52"/>
    <x v="436"/>
    <x v="3"/>
    <s v="CUST4182"/>
    <s v="John Singh"/>
    <s v="Canada"/>
    <x v="1"/>
    <x v="3"/>
    <x v="6"/>
    <n v="1792"/>
    <n v="12.91"/>
    <n v="2.4"/>
    <x v="433"/>
    <n v="4"/>
    <n v="9"/>
    <n v="808.92"/>
    <n v="3.97"/>
    <n v="804.95"/>
  </r>
  <r>
    <s v="616BC3B7"/>
    <x v="437"/>
    <x v="3"/>
    <s v="CUST5517"/>
    <s v="Kumar Taylor"/>
    <s v="Singapore"/>
    <x v="5"/>
    <x v="3"/>
    <x v="2"/>
    <n v="4601"/>
    <n v="19.510000000000002"/>
    <n v="4.2"/>
    <x v="434"/>
    <n v="2"/>
    <n v="10"/>
    <n v="423.6"/>
    <n v="0.75"/>
    <n v="422.85"/>
  </r>
  <r>
    <s v="E616AB85"/>
    <x v="438"/>
    <x v="5"/>
    <s v="CUST8647"/>
    <s v="Sophia Sharma"/>
    <s v="India"/>
    <x v="3"/>
    <x v="3"/>
    <x v="10"/>
    <n v="3686"/>
    <n v="47.82"/>
    <n v="1.3"/>
    <x v="435"/>
    <n v="5"/>
    <n v="10"/>
    <n v="1987.5"/>
    <n v="3.5"/>
    <n v="1984"/>
  </r>
  <r>
    <s v="DBB4F9B1"/>
    <x v="439"/>
    <x v="6"/>
    <s v="CUST3662"/>
    <s v="John Brown"/>
    <s v="Brazil"/>
    <x v="6"/>
    <x v="0"/>
    <x v="14"/>
    <n v="1273"/>
    <n v="48.68"/>
    <n v="4.5"/>
    <x v="436"/>
    <n v="1"/>
    <n v="20"/>
    <n v="334.20000000000005"/>
    <n v="3.86"/>
    <n v="330.34"/>
  </r>
  <r>
    <s v="1AF6FCEA"/>
    <x v="440"/>
    <x v="4"/>
    <s v="CUST6830"/>
    <s v="Sophia Garcia"/>
    <s v="Philippines"/>
    <x v="1"/>
    <x v="0"/>
    <x v="14"/>
    <n v="2494"/>
    <n v="35.770000000000003"/>
    <n v="3.6"/>
    <x v="437"/>
    <n v="3"/>
    <n v="20"/>
    <n v="537"/>
    <n v="1.74"/>
    <n v="535.26"/>
  </r>
  <r>
    <s v="170A49D3"/>
    <x v="441"/>
    <x v="3"/>
    <s v="CUST3054"/>
    <s v="Ahmed Garcia"/>
    <s v="Philippines"/>
    <x v="2"/>
    <x v="3"/>
    <x v="1"/>
    <n v="797"/>
    <n v="17.14"/>
    <n v="2.1"/>
    <x v="438"/>
    <n v="2"/>
    <n v="7"/>
    <n v="184.24"/>
    <n v="2.5499999999999998"/>
    <n v="181.69"/>
  </r>
  <r>
    <s v="DEBB0D61"/>
    <x v="129"/>
    <x v="4"/>
    <s v="CUST4831"/>
    <s v="Sophia Taylor"/>
    <s v="New Zealand"/>
    <x v="2"/>
    <x v="3"/>
    <x v="2"/>
    <n v="1855"/>
    <n v="21.47"/>
    <n v="2.2000000000000002"/>
    <x v="439"/>
    <n v="3"/>
    <n v="18"/>
    <n v="1284.1200000000001"/>
    <n v="7.72"/>
    <n v="1276.4000000000001"/>
  </r>
  <r>
    <s v="7FD22CBA"/>
    <x v="442"/>
    <x v="1"/>
    <s v="CUST8376"/>
    <s v="Ravi Das"/>
    <s v="Canada"/>
    <x v="3"/>
    <x v="4"/>
    <x v="1"/>
    <n v="3739"/>
    <n v="25.11"/>
    <n v="4.0999999999999996"/>
    <x v="440"/>
    <n v="5"/>
    <n v="20"/>
    <n v="2253"/>
    <n v="8.25"/>
    <n v="2244.75"/>
  </r>
  <r>
    <s v="E47EBA56"/>
    <x v="443"/>
    <x v="5"/>
    <s v="CUST8576"/>
    <s v="Ravi Sharma"/>
    <s v="Singapore"/>
    <x v="2"/>
    <x v="3"/>
    <x v="14"/>
    <n v="2087"/>
    <n v="35.21"/>
    <n v="4.2"/>
    <x v="441"/>
    <n v="3"/>
    <n v="16"/>
    <n v="917.76"/>
    <n v="1.0900000000000001"/>
    <n v="916.67"/>
  </r>
  <r>
    <s v="1948236C"/>
    <x v="131"/>
    <x v="6"/>
    <s v="CUST9200"/>
    <s v="Emily Taylor"/>
    <s v="Australia"/>
    <x v="2"/>
    <x v="3"/>
    <x v="14"/>
    <n v="1850"/>
    <n v="36.43"/>
    <n v="1.7"/>
    <x v="442"/>
    <n v="3"/>
    <n v="13"/>
    <n v="1494.0900000000001"/>
    <n v="8.0299999999999994"/>
    <n v="1486.06"/>
  </r>
  <r>
    <s v="0392B195"/>
    <x v="444"/>
    <x v="0"/>
    <s v="CUST3628"/>
    <s v="Emily Das"/>
    <s v="Qatar"/>
    <x v="8"/>
    <x v="3"/>
    <x v="8"/>
    <n v="1226"/>
    <n v="49.4"/>
    <n v="1.6"/>
    <x v="399"/>
    <n v="3"/>
    <n v="6"/>
    <n v="146.52000000000001"/>
    <n v="2.79"/>
    <n v="143.72999999999999"/>
  </r>
  <r>
    <s v="1CC7554A"/>
    <x v="445"/>
    <x v="5"/>
    <s v="CUST6900"/>
    <s v="Priya Taylor"/>
    <s v="Qatar"/>
    <x v="4"/>
    <x v="1"/>
    <x v="14"/>
    <n v="3482"/>
    <n v="15.53"/>
    <n v="1.1000000000000001"/>
    <x v="443"/>
    <n v="5"/>
    <n v="15"/>
    <n v="1803.75"/>
    <n v="8.98"/>
    <n v="1794.77"/>
  </r>
  <r>
    <s v="FEE544C2"/>
    <x v="446"/>
    <x v="5"/>
    <s v="CUST8159"/>
    <s v="Emily Patel"/>
    <s v="Indonesia"/>
    <x v="7"/>
    <x v="3"/>
    <x v="3"/>
    <n v="2701"/>
    <n v="14.42"/>
    <n v="1.2"/>
    <x v="444"/>
    <n v="1"/>
    <n v="10"/>
    <n v="356.4"/>
    <n v="7.89"/>
    <n v="348.51"/>
  </r>
  <r>
    <s v="0A5CFE83"/>
    <x v="447"/>
    <x v="2"/>
    <s v="CUST6860"/>
    <s v="David Brown"/>
    <s v="India"/>
    <x v="5"/>
    <x v="2"/>
    <x v="10"/>
    <n v="1895"/>
    <n v="13.83"/>
    <n v="2.2999999999999998"/>
    <x v="271"/>
    <n v="4"/>
    <n v="3"/>
    <n v="297.84000000000003"/>
    <n v="2.59"/>
    <n v="295.25"/>
  </r>
  <r>
    <s v="4485C4BC"/>
    <x v="448"/>
    <x v="9"/>
    <s v="CUST9696"/>
    <s v="Priya Smith"/>
    <s v="Singapore"/>
    <x v="1"/>
    <x v="2"/>
    <x v="3"/>
    <n v="2388"/>
    <n v="19.16"/>
    <n v="2.5"/>
    <x v="445"/>
    <n v="4"/>
    <n v="19"/>
    <n v="411.92"/>
    <n v="8.6300000000000008"/>
    <n v="403.29"/>
  </r>
  <r>
    <s v="B41C357C"/>
    <x v="449"/>
    <x v="2"/>
    <s v="CUST5729"/>
    <s v="Ahmed Garcia"/>
    <s v="Philippines"/>
    <x v="2"/>
    <x v="1"/>
    <x v="6"/>
    <n v="1979"/>
    <n v="14.08"/>
    <n v="3.9"/>
    <x v="446"/>
    <n v="5"/>
    <n v="2"/>
    <n v="250.5"/>
    <n v="4.62"/>
    <n v="245.88"/>
  </r>
  <r>
    <s v="438EDE01"/>
    <x v="450"/>
    <x v="3"/>
    <s v="CUST8166"/>
    <s v="John Khan"/>
    <s v="Brazil"/>
    <x v="2"/>
    <x v="3"/>
    <x v="5"/>
    <n v="4728"/>
    <n v="41.54"/>
    <n v="3.6"/>
    <x v="447"/>
    <n v="5"/>
    <n v="2"/>
    <n v="356.59999999999997"/>
    <n v="5.8"/>
    <n v="350.8"/>
  </r>
  <r>
    <s v="CC42D8FF"/>
    <x v="451"/>
    <x v="0"/>
    <s v="CUST5704"/>
    <s v="David Khan"/>
    <s v="New Zealand"/>
    <x v="4"/>
    <x v="2"/>
    <x v="14"/>
    <n v="3331"/>
    <n v="18.309999999999999"/>
    <n v="4.7"/>
    <x v="448"/>
    <n v="5"/>
    <n v="6"/>
    <n v="1004.3999999999999"/>
    <n v="3.84"/>
    <n v="1000.56"/>
  </r>
  <r>
    <s v="C023E13B"/>
    <x v="452"/>
    <x v="5"/>
    <s v="CUST9185"/>
    <s v="John Lee"/>
    <s v="Philippines"/>
    <x v="1"/>
    <x v="0"/>
    <x v="6"/>
    <n v="3383"/>
    <n v="28.57"/>
    <n v="4.4000000000000004"/>
    <x v="449"/>
    <n v="2"/>
    <n v="7"/>
    <n v="516.88"/>
    <n v="3.4"/>
    <n v="513.48"/>
  </r>
  <r>
    <s v="1A37391B"/>
    <x v="453"/>
    <x v="7"/>
    <s v="CUST9569"/>
    <s v="Sara Sharma"/>
    <s v="New Zealand"/>
    <x v="0"/>
    <x v="4"/>
    <x v="13"/>
    <n v="3018"/>
    <n v="13.59"/>
    <n v="4.3"/>
    <x v="450"/>
    <n v="4"/>
    <n v="19"/>
    <n v="1398.3999999999999"/>
    <n v="1.86"/>
    <n v="1396.54"/>
  </r>
  <r>
    <s v="BBF2939F"/>
    <x v="42"/>
    <x v="8"/>
    <s v="CUST1160"/>
    <s v="Priya Khan"/>
    <s v="Indonesia"/>
    <x v="4"/>
    <x v="2"/>
    <x v="8"/>
    <n v="4796"/>
    <n v="16.96"/>
    <n v="4.9000000000000004"/>
    <x v="451"/>
    <n v="1"/>
    <n v="5"/>
    <n v="73.949999999999989"/>
    <n v="3.1"/>
    <n v="70.849999999999994"/>
  </r>
  <r>
    <s v="3969F67B"/>
    <x v="39"/>
    <x v="6"/>
    <s v="CUST5421"/>
    <s v="Priya Lee"/>
    <s v="New Zealand"/>
    <x v="5"/>
    <x v="1"/>
    <x v="1"/>
    <n v="4122"/>
    <n v="49.42"/>
    <n v="1.7"/>
    <x v="452"/>
    <n v="3"/>
    <n v="12"/>
    <n v="1133.28"/>
    <n v="1.77"/>
    <n v="1131.51"/>
  </r>
  <r>
    <s v="38E42FB6"/>
    <x v="454"/>
    <x v="2"/>
    <s v="CUST1525"/>
    <s v="Priya Garcia"/>
    <s v="Qatar"/>
    <x v="2"/>
    <x v="2"/>
    <x v="1"/>
    <n v="2910"/>
    <n v="25.12"/>
    <n v="4.7"/>
    <x v="369"/>
    <n v="3"/>
    <n v="4"/>
    <n v="345"/>
    <n v="7.33"/>
    <n v="337.67"/>
  </r>
  <r>
    <s v="37C88417"/>
    <x v="455"/>
    <x v="6"/>
    <s v="CUST3918"/>
    <s v="Ahmed Smith"/>
    <s v="South Africa"/>
    <x v="1"/>
    <x v="4"/>
    <x v="3"/>
    <n v="1334"/>
    <n v="19.12"/>
    <n v="3.7"/>
    <x v="453"/>
    <n v="3"/>
    <n v="6"/>
    <n v="135"/>
    <n v="8.43"/>
    <n v="126.57"/>
  </r>
  <r>
    <s v="B3D096C0"/>
    <x v="456"/>
    <x v="1"/>
    <s v="CUST6722"/>
    <s v="Priya Patel"/>
    <s v="New Zealand"/>
    <x v="5"/>
    <x v="2"/>
    <x v="1"/>
    <n v="3290"/>
    <n v="34.15"/>
    <n v="1.2"/>
    <x v="454"/>
    <n v="1"/>
    <n v="19"/>
    <n v="628.71"/>
    <n v="2.5299999999999998"/>
    <n v="626.17999999999995"/>
  </r>
  <r>
    <s v="41F40075"/>
    <x v="457"/>
    <x v="0"/>
    <s v="CUST7360"/>
    <s v="Priya Smith"/>
    <s v="Qatar"/>
    <x v="3"/>
    <x v="3"/>
    <x v="10"/>
    <n v="433"/>
    <n v="12.5"/>
    <n v="2.7"/>
    <x v="93"/>
    <n v="1"/>
    <n v="18"/>
    <n v="481.32"/>
    <n v="7.26"/>
    <n v="474.06"/>
  </r>
  <r>
    <s v="237B558D"/>
    <x v="458"/>
    <x v="5"/>
    <s v="CUST3556"/>
    <s v="John Khan"/>
    <s v="Indonesia"/>
    <x v="2"/>
    <x v="1"/>
    <x v="6"/>
    <n v="4682"/>
    <n v="37.42"/>
    <n v="4.2"/>
    <x v="455"/>
    <n v="2"/>
    <n v="10"/>
    <n v="195.79999999999998"/>
    <n v="2.08"/>
    <n v="193.72"/>
  </r>
  <r>
    <s v="EFF53F9F"/>
    <x v="459"/>
    <x v="6"/>
    <s v="CUST2171"/>
    <s v="Ahmed Brown"/>
    <s v="Philippines"/>
    <x v="1"/>
    <x v="2"/>
    <x v="2"/>
    <n v="1482"/>
    <n v="49.43"/>
    <n v="3.3"/>
    <x v="456"/>
    <n v="1"/>
    <n v="19"/>
    <n v="598.69000000000005"/>
    <n v="9.5399999999999991"/>
    <n v="589.15"/>
  </r>
  <r>
    <s v="233FEA09"/>
    <x v="460"/>
    <x v="1"/>
    <s v="CUST3922"/>
    <s v="Emily Smith"/>
    <s v="Qatar"/>
    <x v="5"/>
    <x v="1"/>
    <x v="9"/>
    <n v="3657"/>
    <n v="10.86"/>
    <n v="1.7"/>
    <x v="457"/>
    <n v="3"/>
    <n v="1"/>
    <n v="114.21000000000001"/>
    <n v="3.21"/>
    <n v="111"/>
  </r>
  <r>
    <s v="5A82390C"/>
    <x v="88"/>
    <x v="2"/>
    <s v="CUST4472"/>
    <s v="Anita Das"/>
    <s v="South Africa"/>
    <x v="0"/>
    <x v="3"/>
    <x v="4"/>
    <n v="3009"/>
    <n v="17.510000000000002"/>
    <n v="2.9"/>
    <x v="458"/>
    <n v="5"/>
    <n v="18"/>
    <n v="2692.8"/>
    <n v="3.44"/>
    <n v="2689.36"/>
  </r>
  <r>
    <s v="794FC284"/>
    <x v="461"/>
    <x v="9"/>
    <s v="CUST5224"/>
    <s v="Anita Patel"/>
    <s v="Australia"/>
    <x v="8"/>
    <x v="1"/>
    <x v="7"/>
    <n v="1732"/>
    <n v="14.74"/>
    <n v="2.1"/>
    <x v="459"/>
    <n v="4"/>
    <n v="17"/>
    <n v="947.24"/>
    <n v="5.49"/>
    <n v="941.75"/>
  </r>
  <r>
    <s v="FA72BED5"/>
    <x v="462"/>
    <x v="6"/>
    <s v="CUST4357"/>
    <s v="Kumar Sharma"/>
    <s v="Qatar"/>
    <x v="2"/>
    <x v="1"/>
    <x v="7"/>
    <n v="1230"/>
    <n v="39.1"/>
    <n v="3.7"/>
    <x v="460"/>
    <n v="5"/>
    <n v="13"/>
    <n v="1673.75"/>
    <n v="2.08"/>
    <n v="1671.67"/>
  </r>
  <r>
    <s v="E6FDEB6F"/>
    <x v="463"/>
    <x v="5"/>
    <s v="CUST9556"/>
    <s v="Sophia Khan"/>
    <s v="New Zealand"/>
    <x v="4"/>
    <x v="0"/>
    <x v="2"/>
    <n v="1674"/>
    <n v="8.14"/>
    <n v="4.0999999999999996"/>
    <x v="461"/>
    <n v="3"/>
    <n v="6"/>
    <n v="387.18"/>
    <n v="8.36"/>
    <n v="378.82"/>
  </r>
  <r>
    <s v="9B4502CF"/>
    <x v="464"/>
    <x v="0"/>
    <s v="CUST7918"/>
    <s v="Priya Lee"/>
    <s v="South Africa"/>
    <x v="0"/>
    <x v="0"/>
    <x v="3"/>
    <n v="4543"/>
    <n v="44.44"/>
    <n v="2.2000000000000002"/>
    <x v="462"/>
    <n v="2"/>
    <n v="12"/>
    <n v="609.36"/>
    <n v="7.63"/>
    <n v="601.73"/>
  </r>
  <r>
    <s v="25CF1600"/>
    <x v="465"/>
    <x v="9"/>
    <s v="CUST3998"/>
    <s v="David Taylor"/>
    <s v="South Africa"/>
    <x v="1"/>
    <x v="0"/>
    <x v="3"/>
    <n v="4666"/>
    <n v="40.33"/>
    <n v="2.8"/>
    <x v="463"/>
    <n v="1"/>
    <n v="11"/>
    <n v="116.93"/>
    <n v="4.51"/>
    <n v="112.42"/>
  </r>
  <r>
    <s v="D6B45895"/>
    <x v="466"/>
    <x v="8"/>
    <s v="CUST3970"/>
    <s v="Ravi Brown"/>
    <s v="Australia"/>
    <x v="6"/>
    <x v="3"/>
    <x v="5"/>
    <n v="4832"/>
    <n v="6.54"/>
    <n v="3.3"/>
    <x v="464"/>
    <n v="5"/>
    <n v="13"/>
    <n v="2021.5"/>
    <n v="0.67"/>
    <n v="2020.83"/>
  </r>
  <r>
    <s v="45169EF5"/>
    <x v="467"/>
    <x v="9"/>
    <s v="CUST8422"/>
    <s v="David Das"/>
    <s v="Canada"/>
    <x v="1"/>
    <x v="4"/>
    <x v="3"/>
    <n v="2785"/>
    <n v="23.61"/>
    <n v="4.5999999999999996"/>
    <x v="465"/>
    <n v="3"/>
    <n v="12"/>
    <n v="481.68"/>
    <n v="2.96"/>
    <n v="478.72"/>
  </r>
  <r>
    <s v="DBB30A56"/>
    <x v="468"/>
    <x v="3"/>
    <s v="CUST3171"/>
    <s v="Anita Smith"/>
    <s v="India"/>
    <x v="7"/>
    <x v="4"/>
    <x v="11"/>
    <n v="3168"/>
    <n v="42.44"/>
    <n v="3.9"/>
    <x v="466"/>
    <n v="1"/>
    <n v="1"/>
    <n v="16.04"/>
    <n v="1.72"/>
    <n v="14.32"/>
  </r>
  <r>
    <s v="86DD3B1A"/>
    <x v="469"/>
    <x v="4"/>
    <s v="CUST2295"/>
    <s v="Ravi Brown"/>
    <s v="South Africa"/>
    <x v="8"/>
    <x v="0"/>
    <x v="2"/>
    <n v="111"/>
    <n v="19.79"/>
    <n v="1"/>
    <x v="467"/>
    <n v="3"/>
    <n v="15"/>
    <n v="260.10000000000002"/>
    <n v="0.31"/>
    <n v="259.79000000000002"/>
  </r>
  <r>
    <s v="4948B020"/>
    <x v="470"/>
    <x v="1"/>
    <s v="CUST5319"/>
    <s v="David Patel"/>
    <s v="India"/>
    <x v="1"/>
    <x v="2"/>
    <x v="8"/>
    <n v="1360"/>
    <n v="36.68"/>
    <n v="5"/>
    <x v="468"/>
    <n v="5"/>
    <n v="18"/>
    <n v="2755.7999999999997"/>
    <n v="2.88"/>
    <n v="2752.92"/>
  </r>
  <r>
    <s v="885F751F"/>
    <x v="471"/>
    <x v="5"/>
    <s v="CUST2710"/>
    <s v="David Garcia"/>
    <s v="Philippines"/>
    <x v="4"/>
    <x v="3"/>
    <x v="3"/>
    <n v="1594"/>
    <n v="48.24"/>
    <n v="3.4"/>
    <x v="469"/>
    <n v="3"/>
    <n v="3"/>
    <n v="126.89999999999999"/>
    <n v="9.42"/>
    <n v="117.48"/>
  </r>
  <r>
    <s v="A8405206"/>
    <x v="472"/>
    <x v="0"/>
    <s v="CUST9140"/>
    <s v="Anita Khan"/>
    <s v="Philippines"/>
    <x v="8"/>
    <x v="1"/>
    <x v="10"/>
    <n v="2019"/>
    <n v="31.76"/>
    <n v="4.5999999999999996"/>
    <x v="470"/>
    <n v="5"/>
    <n v="15"/>
    <n v="1666.5"/>
    <n v="0.12"/>
    <n v="1666.38"/>
  </r>
  <r>
    <s v="257AB318"/>
    <x v="473"/>
    <x v="6"/>
    <s v="CUST9021"/>
    <s v="Sara Taylor"/>
    <s v="South Africa"/>
    <x v="2"/>
    <x v="1"/>
    <x v="2"/>
    <n v="3878"/>
    <n v="17.41"/>
    <n v="2.4"/>
    <x v="471"/>
    <n v="5"/>
    <n v="4"/>
    <n v="249"/>
    <n v="3.46"/>
    <n v="245.54"/>
  </r>
  <r>
    <s v="50CE7CC3"/>
    <x v="474"/>
    <x v="9"/>
    <s v="CUST1770"/>
    <s v="Emily Garcia"/>
    <s v="Qatar"/>
    <x v="4"/>
    <x v="3"/>
    <x v="8"/>
    <n v="710"/>
    <n v="34.96"/>
    <n v="2.2000000000000002"/>
    <x v="472"/>
    <n v="5"/>
    <n v="1"/>
    <n v="135.19999999999999"/>
    <n v="8.6"/>
    <n v="126.6"/>
  </r>
  <r>
    <s v="AD928194"/>
    <x v="475"/>
    <x v="9"/>
    <s v="CUST5841"/>
    <s v="Kumar Singh"/>
    <s v="South Africa"/>
    <x v="3"/>
    <x v="2"/>
    <x v="11"/>
    <n v="3593"/>
    <n v="43.68"/>
    <n v="4.8"/>
    <x v="473"/>
    <n v="5"/>
    <n v="17"/>
    <n v="3002.2"/>
    <n v="8.2200000000000006"/>
    <n v="2993.98"/>
  </r>
  <r>
    <s v="D92FC081"/>
    <x v="476"/>
    <x v="3"/>
    <s v="CUST1777"/>
    <s v="Ravi Smith"/>
    <s v="Indonesia"/>
    <x v="0"/>
    <x v="4"/>
    <x v="10"/>
    <n v="2005"/>
    <n v="31.76"/>
    <n v="3.8"/>
    <x v="474"/>
    <n v="5"/>
    <n v="17"/>
    <n v="2224.4500000000003"/>
    <n v="7.15"/>
    <n v="2217.3000000000002"/>
  </r>
  <r>
    <s v="741924C8"/>
    <x v="477"/>
    <x v="2"/>
    <s v="CUST3127"/>
    <s v="Ahmed Das"/>
    <s v="Qatar"/>
    <x v="4"/>
    <x v="1"/>
    <x v="14"/>
    <n v="1590"/>
    <n v="27.96"/>
    <n v="2.2000000000000002"/>
    <x v="475"/>
    <n v="3"/>
    <n v="17"/>
    <n v="1130.67"/>
    <n v="6.41"/>
    <n v="1124.26"/>
  </r>
  <r>
    <s v="360B2ADC"/>
    <x v="478"/>
    <x v="7"/>
    <s v="CUST1357"/>
    <s v="Priya Patel"/>
    <s v="Singapore"/>
    <x v="5"/>
    <x v="4"/>
    <x v="14"/>
    <n v="2406"/>
    <n v="38.979999999999997"/>
    <n v="2.5"/>
    <x v="476"/>
    <n v="2"/>
    <n v="1"/>
    <n v="77.2"/>
    <n v="6.7"/>
    <n v="70.5"/>
  </r>
  <r>
    <s v="C7D9D452"/>
    <x v="479"/>
    <x v="0"/>
    <s v="CUST6182"/>
    <s v="Ahmed Singh"/>
    <s v="Brazil"/>
    <x v="8"/>
    <x v="3"/>
    <x v="3"/>
    <n v="3116"/>
    <n v="7.22"/>
    <n v="3.3"/>
    <x v="477"/>
    <n v="1"/>
    <n v="17"/>
    <n v="489.6"/>
    <n v="2.72"/>
    <n v="486.88"/>
  </r>
  <r>
    <s v="21C82609"/>
    <x v="480"/>
    <x v="8"/>
    <s v="CUST3628"/>
    <s v="David Patel"/>
    <s v="Brazil"/>
    <x v="1"/>
    <x v="2"/>
    <x v="10"/>
    <n v="841"/>
    <n v="45.49"/>
    <n v="3.5"/>
    <x v="478"/>
    <n v="3"/>
    <n v="8"/>
    <n v="678"/>
    <n v="7.04"/>
    <n v="670.96"/>
  </r>
  <r>
    <s v="AC8BF542"/>
    <x v="379"/>
    <x v="8"/>
    <s v="CUST1470"/>
    <s v="David Singh"/>
    <s v="South Africa"/>
    <x v="2"/>
    <x v="2"/>
    <x v="11"/>
    <n v="2963"/>
    <n v="48.57"/>
    <n v="4.5"/>
    <x v="479"/>
    <n v="2"/>
    <n v="6"/>
    <n v="100.92"/>
    <n v="5.37"/>
    <n v="95.55"/>
  </r>
  <r>
    <s v="ECBE77F6"/>
    <x v="481"/>
    <x v="5"/>
    <s v="CUST7707"/>
    <s v="John Sharma"/>
    <s v="Indonesia"/>
    <x v="8"/>
    <x v="2"/>
    <x v="2"/>
    <n v="3667"/>
    <n v="26.63"/>
    <n v="2.2999999999999998"/>
    <x v="480"/>
    <n v="2"/>
    <n v="6"/>
    <n v="197.88"/>
    <n v="0.52"/>
    <n v="197.36"/>
  </r>
  <r>
    <s v="FA9FF891"/>
    <x v="482"/>
    <x v="5"/>
    <s v="CUST1980"/>
    <s v="Emily Khan"/>
    <s v="Brazil"/>
    <x v="2"/>
    <x v="2"/>
    <x v="2"/>
    <n v="1882"/>
    <n v="16.62"/>
    <n v="3.1"/>
    <x v="481"/>
    <n v="2"/>
    <n v="8"/>
    <n v="637.28"/>
    <n v="2.16"/>
    <n v="635.12"/>
  </r>
  <r>
    <s v="34027C4D"/>
    <x v="483"/>
    <x v="5"/>
    <s v="CUST9502"/>
    <s v="Emily Taylor"/>
    <s v="Indonesia"/>
    <x v="6"/>
    <x v="4"/>
    <x v="0"/>
    <n v="2961"/>
    <n v="36.869999999999997"/>
    <n v="3.1"/>
    <x v="482"/>
    <n v="2"/>
    <n v="5"/>
    <n v="345.3"/>
    <n v="2.3199999999999998"/>
    <n v="342.98"/>
  </r>
  <r>
    <s v="B02E63A1"/>
    <x v="484"/>
    <x v="2"/>
    <s v="CUST7686"/>
    <s v="David Sharma"/>
    <s v="South Africa"/>
    <x v="4"/>
    <x v="0"/>
    <x v="14"/>
    <n v="2051"/>
    <n v="38.29"/>
    <n v="3.2"/>
    <x v="483"/>
    <n v="4"/>
    <n v="7"/>
    <n v="526.67999999999995"/>
    <n v="4.82"/>
    <n v="521.86"/>
  </r>
  <r>
    <s v="5D44D3F7"/>
    <x v="485"/>
    <x v="4"/>
    <s v="CUST9700"/>
    <s v="John Sharma"/>
    <s v="New Zealand"/>
    <x v="2"/>
    <x v="3"/>
    <x v="5"/>
    <n v="4384"/>
    <n v="46.53"/>
    <n v="2.2000000000000002"/>
    <x v="484"/>
    <n v="4"/>
    <n v="11"/>
    <n v="1005.4000000000001"/>
    <n v="8.4"/>
    <n v="997"/>
  </r>
  <r>
    <s v="5397F771"/>
    <x v="486"/>
    <x v="3"/>
    <s v="CUST7877"/>
    <s v="Ravi Smith"/>
    <s v="India"/>
    <x v="5"/>
    <x v="0"/>
    <x v="13"/>
    <n v="433"/>
    <n v="48.09"/>
    <n v="2.2999999999999998"/>
    <x v="485"/>
    <n v="5"/>
    <n v="5"/>
    <n v="808"/>
    <n v="9.85"/>
    <n v="798.15"/>
  </r>
  <r>
    <s v="18F76880"/>
    <x v="487"/>
    <x v="8"/>
    <s v="CUST5256"/>
    <s v="Sophia Lee"/>
    <s v="New Zealand"/>
    <x v="3"/>
    <x v="3"/>
    <x v="5"/>
    <n v="4115"/>
    <n v="31.73"/>
    <n v="2"/>
    <x v="486"/>
    <n v="3"/>
    <n v="13"/>
    <n v="665.33999999999992"/>
    <n v="8.44"/>
    <n v="656.9"/>
  </r>
  <r>
    <s v="E213105A"/>
    <x v="488"/>
    <x v="5"/>
    <s v="CUST5633"/>
    <s v="Ahmed Brown"/>
    <s v="New Zealand"/>
    <x v="5"/>
    <x v="0"/>
    <x v="0"/>
    <n v="1517"/>
    <n v="15.75"/>
    <n v="4.9000000000000004"/>
    <x v="487"/>
    <n v="5"/>
    <n v="3"/>
    <n v="98.100000000000009"/>
    <n v="5.68"/>
    <n v="92.42"/>
  </r>
  <r>
    <s v="116214AD"/>
    <x v="489"/>
    <x v="9"/>
    <s v="CUST7575"/>
    <s v="Kumar Brown"/>
    <s v="Singapore"/>
    <x v="4"/>
    <x v="2"/>
    <x v="14"/>
    <n v="135"/>
    <n v="35.33"/>
    <n v="4.5999999999999996"/>
    <x v="488"/>
    <n v="1"/>
    <n v="13"/>
    <n v="156.38999999999999"/>
    <n v="6.54"/>
    <n v="149.85"/>
  </r>
  <r>
    <s v="DD75DA32"/>
    <x v="490"/>
    <x v="2"/>
    <s v="CUST6407"/>
    <s v="Sophia Khan"/>
    <s v="South Africa"/>
    <x v="5"/>
    <x v="4"/>
    <x v="5"/>
    <n v="4913"/>
    <n v="43.29"/>
    <n v="1.6"/>
    <x v="489"/>
    <n v="2"/>
    <n v="1"/>
    <n v="52.62"/>
    <n v="0.38"/>
    <n v="52.24"/>
  </r>
  <r>
    <s v="46B7068F"/>
    <x v="491"/>
    <x v="8"/>
    <s v="CUST5379"/>
    <s v="John Lee"/>
    <s v="South Africa"/>
    <x v="4"/>
    <x v="0"/>
    <x v="12"/>
    <n v="469"/>
    <n v="47.65"/>
    <n v="4.4000000000000004"/>
    <x v="431"/>
    <n v="3"/>
    <n v="15"/>
    <n v="350.55"/>
    <n v="9.26"/>
    <n v="341.29"/>
  </r>
  <r>
    <s v="E08626D8"/>
    <x v="492"/>
    <x v="7"/>
    <s v="CUST5962"/>
    <s v="Anita Patel"/>
    <s v="Canada"/>
    <x v="6"/>
    <x v="2"/>
    <x v="0"/>
    <n v="3929"/>
    <n v="34.17"/>
    <n v="4.8"/>
    <x v="490"/>
    <n v="4"/>
    <n v="13"/>
    <n v="454.48"/>
    <n v="8.56"/>
    <n v="445.92"/>
  </r>
  <r>
    <s v="A75D78D6"/>
    <x v="493"/>
    <x v="1"/>
    <s v="CUST9985"/>
    <s v="Kumar Brown"/>
    <s v="Brazil"/>
    <x v="3"/>
    <x v="4"/>
    <x v="4"/>
    <n v="4336"/>
    <n v="22.65"/>
    <n v="3.1"/>
    <x v="313"/>
    <n v="2"/>
    <n v="6"/>
    <n v="68.760000000000005"/>
    <n v="2"/>
    <n v="66.760000000000005"/>
  </r>
  <r>
    <s v="D04162AF"/>
    <x v="494"/>
    <x v="6"/>
    <s v="CUST8296"/>
    <s v="David Patel"/>
    <s v="Brazil"/>
    <x v="0"/>
    <x v="4"/>
    <x v="12"/>
    <n v="4836"/>
    <n v="22.54"/>
    <n v="4.5"/>
    <x v="491"/>
    <n v="1"/>
    <n v="18"/>
    <n v="562.31999999999994"/>
    <n v="0.92"/>
    <n v="561.4"/>
  </r>
  <r>
    <s v="00C016C8"/>
    <x v="495"/>
    <x v="4"/>
    <s v="CUST2907"/>
    <s v="Kumar Lee"/>
    <s v="Indonesia"/>
    <x v="2"/>
    <x v="3"/>
    <x v="5"/>
    <n v="2468"/>
    <n v="44.6"/>
    <n v="3"/>
    <x v="30"/>
    <n v="4"/>
    <n v="3"/>
    <n v="232.56"/>
    <n v="2.11"/>
    <n v="230.45"/>
  </r>
  <r>
    <s v="85755785"/>
    <x v="496"/>
    <x v="5"/>
    <s v="CUST8401"/>
    <s v="Sara Das"/>
    <s v="Singapore"/>
    <x v="0"/>
    <x v="3"/>
    <x v="3"/>
    <n v="3098"/>
    <n v="30.27"/>
    <n v="1.6"/>
    <x v="492"/>
    <n v="5"/>
    <n v="3"/>
    <n v="345.45000000000005"/>
    <n v="1.08"/>
    <n v="344.37"/>
  </r>
  <r>
    <s v="13F7B2BD"/>
    <x v="261"/>
    <x v="5"/>
    <s v="CUST4539"/>
    <s v="Sara Khan"/>
    <s v="Philippines"/>
    <x v="8"/>
    <x v="4"/>
    <x v="7"/>
    <n v="1041"/>
    <n v="39.130000000000003"/>
    <n v="4.4000000000000004"/>
    <x v="493"/>
    <n v="2"/>
    <n v="17"/>
    <n v="1224.68"/>
    <n v="4.32"/>
    <n v="1220.3599999999999"/>
  </r>
  <r>
    <s v="5453643C"/>
    <x v="497"/>
    <x v="7"/>
    <s v="CUST7524"/>
    <s v="Kumar Singh"/>
    <s v="Brazil"/>
    <x v="7"/>
    <x v="0"/>
    <x v="2"/>
    <n v="3859"/>
    <n v="9.43"/>
    <n v="3.1"/>
    <x v="494"/>
    <n v="3"/>
    <n v="3"/>
    <n v="209.88000000000002"/>
    <n v="2.35"/>
    <n v="207.53"/>
  </r>
  <r>
    <s v="A9FA3D61"/>
    <x v="272"/>
    <x v="9"/>
    <s v="CUST7346"/>
    <s v="Kumar Taylor"/>
    <s v="Indonesia"/>
    <x v="6"/>
    <x v="0"/>
    <x v="10"/>
    <n v="3961"/>
    <n v="22.68"/>
    <n v="2.9"/>
    <x v="495"/>
    <n v="2"/>
    <n v="17"/>
    <n v="518.5"/>
    <n v="6.71"/>
    <n v="511.79"/>
  </r>
  <r>
    <s v="4E35DBD0"/>
    <x v="498"/>
    <x v="8"/>
    <s v="CUST8426"/>
    <s v="Sophia Lee"/>
    <s v="Indonesia"/>
    <x v="5"/>
    <x v="0"/>
    <x v="0"/>
    <n v="1396"/>
    <n v="24.95"/>
    <n v="4.3"/>
    <x v="496"/>
    <n v="3"/>
    <n v="1"/>
    <n v="15.330000000000002"/>
    <n v="6.92"/>
    <n v="8.41"/>
  </r>
  <r>
    <s v="974A7968"/>
    <x v="499"/>
    <x v="5"/>
    <s v="CUST4842"/>
    <s v="Sara Lee"/>
    <s v="Singapore"/>
    <x v="2"/>
    <x v="4"/>
    <x v="3"/>
    <n v="1996"/>
    <n v="25.96"/>
    <n v="2.2000000000000002"/>
    <x v="497"/>
    <n v="4"/>
    <n v="14"/>
    <n v="1802.6399999999999"/>
    <n v="4.76"/>
    <n v="1797.88"/>
  </r>
  <r>
    <s v="E54ABC07"/>
    <x v="500"/>
    <x v="2"/>
    <s v="CUST6402"/>
    <s v="Sophia Khan"/>
    <s v="Singapore"/>
    <x v="0"/>
    <x v="1"/>
    <x v="14"/>
    <n v="3896"/>
    <n v="37.61"/>
    <n v="4.5"/>
    <x v="498"/>
    <n v="1"/>
    <n v="6"/>
    <n v="106.38"/>
    <n v="8.34"/>
    <n v="98.04"/>
  </r>
  <r>
    <s v="0FFE9B21"/>
    <x v="501"/>
    <x v="7"/>
    <s v="CUST8338"/>
    <s v="Priya Singh"/>
    <s v="Brazil"/>
    <x v="0"/>
    <x v="0"/>
    <x v="6"/>
    <n v="1873"/>
    <n v="35.94"/>
    <n v="3.1"/>
    <x v="11"/>
    <n v="3"/>
    <n v="15"/>
    <n v="965.69999999999993"/>
    <n v="7.55"/>
    <n v="958.15"/>
  </r>
  <r>
    <s v="8D7F2AF7"/>
    <x v="502"/>
    <x v="5"/>
    <s v="CUST8632"/>
    <s v="Ravi Sharma"/>
    <s v="Brazil"/>
    <x v="6"/>
    <x v="3"/>
    <x v="13"/>
    <n v="4344"/>
    <n v="7.78"/>
    <n v="4.8"/>
    <x v="499"/>
    <n v="5"/>
    <n v="14"/>
    <n v="1899.1000000000001"/>
    <n v="7.58"/>
    <n v="1891.52"/>
  </r>
  <r>
    <s v="A9324ABB"/>
    <x v="503"/>
    <x v="1"/>
    <s v="CUST9698"/>
    <s v="Ravi Khan"/>
    <s v="Canada"/>
    <x v="7"/>
    <x v="1"/>
    <x v="9"/>
    <n v="821"/>
    <n v="28.23"/>
    <n v="1.9"/>
    <x v="500"/>
    <n v="4"/>
    <n v="20"/>
    <n v="1407.2"/>
    <n v="1.8"/>
    <n v="1405.4"/>
  </r>
  <r>
    <s v="FAF77C36"/>
    <x v="504"/>
    <x v="2"/>
    <s v="CUST3168"/>
    <s v="Priya Singh"/>
    <s v="Indonesia"/>
    <x v="6"/>
    <x v="3"/>
    <x v="3"/>
    <n v="1080"/>
    <n v="32.72"/>
    <n v="2.9"/>
    <x v="501"/>
    <n v="4"/>
    <n v="14"/>
    <n v="1442.5600000000002"/>
    <n v="9.99"/>
    <n v="1432.57"/>
  </r>
  <r>
    <s v="4F379EDA"/>
    <x v="505"/>
    <x v="6"/>
    <s v="CUST8632"/>
    <s v="John Brown"/>
    <s v="India"/>
    <x v="1"/>
    <x v="1"/>
    <x v="3"/>
    <n v="2764"/>
    <n v="28.72"/>
    <n v="2.7"/>
    <x v="502"/>
    <n v="3"/>
    <n v="18"/>
    <n v="2016.3600000000001"/>
    <n v="4.3099999999999996"/>
    <n v="2012.05"/>
  </r>
  <r>
    <s v="CAFE03BB"/>
    <x v="506"/>
    <x v="9"/>
    <s v="CUST2216"/>
    <s v="Emily Singh"/>
    <s v="New Zealand"/>
    <x v="4"/>
    <x v="0"/>
    <x v="7"/>
    <n v="3179"/>
    <n v="37.72"/>
    <n v="1.7"/>
    <x v="503"/>
    <n v="5"/>
    <n v="14"/>
    <n v="1039.5"/>
    <n v="8.31"/>
    <n v="1031.19"/>
  </r>
  <r>
    <s v="A6902C68"/>
    <x v="507"/>
    <x v="1"/>
    <s v="CUST9830"/>
    <s v="Emily Singh"/>
    <s v="Canada"/>
    <x v="4"/>
    <x v="2"/>
    <x v="13"/>
    <n v="2106"/>
    <n v="45.15"/>
    <n v="2.2999999999999998"/>
    <x v="504"/>
    <n v="4"/>
    <n v="13"/>
    <n v="605.28"/>
    <n v="0.02"/>
    <n v="605.26"/>
  </r>
  <r>
    <s v="8340238B"/>
    <x v="295"/>
    <x v="0"/>
    <s v="CUST5755"/>
    <s v="Emily Singh"/>
    <s v="New Zealand"/>
    <x v="1"/>
    <x v="4"/>
    <x v="1"/>
    <n v="2700"/>
    <n v="18.27"/>
    <n v="3.6"/>
    <x v="471"/>
    <n v="5"/>
    <n v="7"/>
    <n v="435.75"/>
    <n v="0.05"/>
    <n v="435.7"/>
  </r>
  <r>
    <s v="A141B411"/>
    <x v="152"/>
    <x v="3"/>
    <s v="CUST8426"/>
    <s v="Sara Brown"/>
    <s v="Australia"/>
    <x v="0"/>
    <x v="2"/>
    <x v="3"/>
    <n v="2281"/>
    <n v="32.909999999999997"/>
    <n v="2.1"/>
    <x v="4"/>
    <n v="5"/>
    <n v="19"/>
    <n v="2470.9500000000003"/>
    <n v="3.67"/>
    <n v="2467.2800000000002"/>
  </r>
  <r>
    <s v="69B90F10"/>
    <x v="267"/>
    <x v="6"/>
    <s v="CUST3303"/>
    <s v="Ahmed Smith"/>
    <s v="Australia"/>
    <x v="8"/>
    <x v="4"/>
    <x v="6"/>
    <n v="2880"/>
    <n v="23.75"/>
    <n v="3.6"/>
    <x v="505"/>
    <n v="1"/>
    <n v="10"/>
    <n v="307.5"/>
    <n v="0.56000000000000005"/>
    <n v="306.94"/>
  </r>
  <r>
    <s v="EE708FDC"/>
    <x v="508"/>
    <x v="9"/>
    <s v="CUST3726"/>
    <s v="Ahmed Smith"/>
    <s v="Canada"/>
    <x v="4"/>
    <x v="1"/>
    <x v="8"/>
    <n v="1054"/>
    <n v="34.090000000000003"/>
    <n v="2.7"/>
    <x v="506"/>
    <n v="5"/>
    <n v="5"/>
    <n v="142.5"/>
    <n v="6.85"/>
    <n v="135.65"/>
  </r>
  <r>
    <s v="EF7CA707"/>
    <x v="413"/>
    <x v="5"/>
    <s v="CUST4460"/>
    <s v="David Patel"/>
    <s v="Indonesia"/>
    <x v="2"/>
    <x v="0"/>
    <x v="1"/>
    <n v="948"/>
    <n v="43.88"/>
    <n v="5"/>
    <x v="507"/>
    <n v="5"/>
    <n v="4"/>
    <n v="701.2"/>
    <n v="5.94"/>
    <n v="695.26"/>
  </r>
  <r>
    <s v="9077D818"/>
    <x v="509"/>
    <x v="7"/>
    <s v="CUST7959"/>
    <s v="Anita Sharma"/>
    <s v="Canada"/>
    <x v="3"/>
    <x v="4"/>
    <x v="11"/>
    <n v="4951"/>
    <n v="45.31"/>
    <n v="4.5"/>
    <x v="508"/>
    <n v="2"/>
    <n v="10"/>
    <n v="400.79999999999995"/>
    <n v="1.99"/>
    <n v="398.81"/>
  </r>
  <r>
    <s v="09DC7607"/>
    <x v="510"/>
    <x v="7"/>
    <s v="CUST6672"/>
    <s v="Anita Smith"/>
    <s v="New Zealand"/>
    <x v="0"/>
    <x v="2"/>
    <x v="1"/>
    <n v="3958"/>
    <n v="43.69"/>
    <n v="3.9"/>
    <x v="509"/>
    <n v="2"/>
    <n v="16"/>
    <n v="445.44"/>
    <n v="6.88"/>
    <n v="438.56"/>
  </r>
  <r>
    <s v="AF6F04FF"/>
    <x v="511"/>
    <x v="9"/>
    <s v="CUST3096"/>
    <s v="John Sharma"/>
    <s v="India"/>
    <x v="7"/>
    <x v="4"/>
    <x v="2"/>
    <n v="4323"/>
    <n v="10.11"/>
    <n v="1.2"/>
    <x v="510"/>
    <n v="1"/>
    <n v="11"/>
    <n v="66.77000000000001"/>
    <n v="2.4"/>
    <n v="64.37"/>
  </r>
  <r>
    <s v="49307775"/>
    <x v="512"/>
    <x v="5"/>
    <s v="CUST4572"/>
    <s v="Anita Singh"/>
    <s v="India"/>
    <x v="6"/>
    <x v="0"/>
    <x v="3"/>
    <n v="3036"/>
    <n v="38.159999999999997"/>
    <n v="3.7"/>
    <x v="511"/>
    <n v="2"/>
    <n v="5"/>
    <n v="280"/>
    <n v="8.6300000000000008"/>
    <n v="271.37"/>
  </r>
  <r>
    <s v="8E1A3CC3"/>
    <x v="513"/>
    <x v="7"/>
    <s v="CUST3570"/>
    <s v="David Khan"/>
    <s v="New Zealand"/>
    <x v="7"/>
    <x v="1"/>
    <x v="5"/>
    <n v="3033"/>
    <n v="45.16"/>
    <n v="4.8"/>
    <x v="512"/>
    <n v="4"/>
    <n v="7"/>
    <n v="374.92"/>
    <n v="5.23"/>
    <n v="369.69"/>
  </r>
  <r>
    <s v="6D1EA5F4"/>
    <x v="514"/>
    <x v="4"/>
    <s v="CUST1406"/>
    <s v="Anita Khan"/>
    <s v="Canada"/>
    <x v="3"/>
    <x v="0"/>
    <x v="6"/>
    <n v="593"/>
    <n v="22.62"/>
    <n v="1.3"/>
    <x v="513"/>
    <n v="3"/>
    <n v="2"/>
    <n v="94.38"/>
    <n v="4.7699999999999996"/>
    <n v="89.61"/>
  </r>
  <r>
    <s v="C0CF4A59"/>
    <x v="515"/>
    <x v="6"/>
    <s v="CUST5334"/>
    <s v="Kumar Sharma"/>
    <s v="Qatar"/>
    <x v="8"/>
    <x v="1"/>
    <x v="8"/>
    <n v="4476"/>
    <n v="47.58"/>
    <n v="1.8"/>
    <x v="398"/>
    <n v="2"/>
    <n v="1"/>
    <n v="38.96"/>
    <n v="3.58"/>
    <n v="35.380000000000003"/>
  </r>
  <r>
    <s v="90DB65A8"/>
    <x v="516"/>
    <x v="0"/>
    <s v="CUST6405"/>
    <s v="Ravi Smith"/>
    <s v="Brazil"/>
    <x v="4"/>
    <x v="2"/>
    <x v="6"/>
    <n v="4036"/>
    <n v="35.549999999999997"/>
    <n v="4.2"/>
    <x v="514"/>
    <n v="2"/>
    <n v="6"/>
    <n v="425.40000000000003"/>
    <n v="9.08"/>
    <n v="416.32"/>
  </r>
  <r>
    <s v="58A4FF12"/>
    <x v="517"/>
    <x v="8"/>
    <s v="CUST5764"/>
    <s v="Kumar Khan"/>
    <s v="Philippines"/>
    <x v="7"/>
    <x v="4"/>
    <x v="5"/>
    <n v="2485"/>
    <n v="35.840000000000003"/>
    <n v="4.9000000000000004"/>
    <x v="513"/>
    <n v="3"/>
    <n v="19"/>
    <n v="896.6099999999999"/>
    <n v="5.92"/>
    <n v="890.69"/>
  </r>
  <r>
    <s v="B35122BE"/>
    <x v="518"/>
    <x v="5"/>
    <s v="CUST8267"/>
    <s v="Sara Das"/>
    <s v="Brazil"/>
    <x v="1"/>
    <x v="4"/>
    <x v="8"/>
    <n v="1014"/>
    <n v="48.73"/>
    <n v="2.5"/>
    <x v="515"/>
    <n v="1"/>
    <n v="11"/>
    <n v="393.35999999999996"/>
    <n v="8.6199999999999992"/>
    <n v="384.74"/>
  </r>
  <r>
    <s v="CA8950D8"/>
    <x v="519"/>
    <x v="0"/>
    <s v="CUST9302"/>
    <s v="Emily Das"/>
    <s v="Indonesia"/>
    <x v="0"/>
    <x v="3"/>
    <x v="3"/>
    <n v="2591"/>
    <n v="21.37"/>
    <n v="1.2"/>
    <x v="516"/>
    <n v="2"/>
    <n v="4"/>
    <n v="150.32"/>
    <n v="4.75"/>
    <n v="145.57"/>
  </r>
  <r>
    <s v="9E8AAB48"/>
    <x v="520"/>
    <x v="5"/>
    <s v="CUST2411"/>
    <s v="Sara Patel"/>
    <s v="Indonesia"/>
    <x v="1"/>
    <x v="1"/>
    <x v="5"/>
    <n v="2378"/>
    <n v="33.31"/>
    <n v="4.2"/>
    <x v="517"/>
    <n v="5"/>
    <n v="6"/>
    <n v="408"/>
    <n v="0.01"/>
    <n v="407.99"/>
  </r>
  <r>
    <s v="64554A40"/>
    <x v="75"/>
    <x v="0"/>
    <s v="CUST2142"/>
    <s v="Emily Khan"/>
    <s v="Australia"/>
    <x v="6"/>
    <x v="0"/>
    <x v="1"/>
    <n v="2901"/>
    <n v="33.86"/>
    <n v="1"/>
    <x v="518"/>
    <n v="2"/>
    <n v="12"/>
    <n v="346.56"/>
    <n v="7.58"/>
    <n v="338.98"/>
  </r>
  <r>
    <s v="F5445AF5"/>
    <x v="521"/>
    <x v="3"/>
    <s v="CUST7183"/>
    <s v="Sophia Patel"/>
    <s v="India"/>
    <x v="4"/>
    <x v="3"/>
    <x v="14"/>
    <n v="667"/>
    <n v="43.74"/>
    <n v="2.2000000000000002"/>
    <x v="234"/>
    <n v="5"/>
    <n v="10"/>
    <n v="707"/>
    <n v="5.4"/>
    <n v="701.6"/>
  </r>
  <r>
    <s v="3B7BE138"/>
    <x v="522"/>
    <x v="1"/>
    <s v="CUST2998"/>
    <s v="Kumar Lee"/>
    <s v="India"/>
    <x v="3"/>
    <x v="0"/>
    <x v="1"/>
    <n v="1399"/>
    <n v="5.04"/>
    <n v="2.7"/>
    <x v="519"/>
    <n v="5"/>
    <n v="3"/>
    <n v="371.54999999999995"/>
    <n v="2.14"/>
    <n v="369.41"/>
  </r>
  <r>
    <s v="4491D4B0"/>
    <x v="523"/>
    <x v="3"/>
    <s v="CUST8426"/>
    <s v="Ravi Brown"/>
    <s v="India"/>
    <x v="3"/>
    <x v="0"/>
    <x v="2"/>
    <n v="4312"/>
    <n v="19.940000000000001"/>
    <n v="1.9"/>
    <x v="520"/>
    <n v="3"/>
    <n v="20"/>
    <n v="1000.2"/>
    <n v="4.2699999999999996"/>
    <n v="995.93"/>
  </r>
  <r>
    <s v="4E37ED8D"/>
    <x v="524"/>
    <x v="2"/>
    <s v="CUST8261"/>
    <s v="David Garcia"/>
    <s v="Brazil"/>
    <x v="4"/>
    <x v="4"/>
    <x v="1"/>
    <n v="1557"/>
    <n v="10.99"/>
    <n v="4.3"/>
    <x v="521"/>
    <n v="3"/>
    <n v="6"/>
    <n v="674.1"/>
    <n v="1.53"/>
    <n v="672.57"/>
  </r>
  <r>
    <s v="9CB88F95"/>
    <x v="3"/>
    <x v="7"/>
    <s v="CUST4173"/>
    <s v="Ravi Singh"/>
    <s v="India"/>
    <x v="7"/>
    <x v="1"/>
    <x v="1"/>
    <n v="4206"/>
    <n v="26.97"/>
    <n v="2.1"/>
    <x v="522"/>
    <n v="1"/>
    <n v="7"/>
    <n v="151.48000000000002"/>
    <n v="4.8"/>
    <n v="146.68"/>
  </r>
  <r>
    <s v="0686240D"/>
    <x v="525"/>
    <x v="7"/>
    <s v="CUST7993"/>
    <s v="Priya Sharma"/>
    <s v="India"/>
    <x v="4"/>
    <x v="0"/>
    <x v="7"/>
    <n v="4377"/>
    <n v="39.880000000000003"/>
    <n v="4.7"/>
    <x v="140"/>
    <n v="2"/>
    <n v="6"/>
    <n v="133.32"/>
    <n v="6.42"/>
    <n v="126.9"/>
  </r>
  <r>
    <s v="439374EA"/>
    <x v="526"/>
    <x v="5"/>
    <s v="CUST2662"/>
    <s v="John Khan"/>
    <s v="Indonesia"/>
    <x v="1"/>
    <x v="2"/>
    <x v="10"/>
    <n v="3240"/>
    <n v="21"/>
    <n v="3.6"/>
    <x v="523"/>
    <n v="3"/>
    <n v="8"/>
    <n v="665.28"/>
    <n v="0.82"/>
    <n v="664.46"/>
  </r>
  <r>
    <s v="329F9FD5"/>
    <x v="527"/>
    <x v="1"/>
    <s v="CUST1587"/>
    <s v="Kumar Brown"/>
    <s v="Philippines"/>
    <x v="4"/>
    <x v="0"/>
    <x v="8"/>
    <n v="3678"/>
    <n v="9.8699999999999992"/>
    <n v="1.4"/>
    <x v="524"/>
    <n v="3"/>
    <n v="5"/>
    <n v="331.65"/>
    <n v="0.96"/>
    <n v="330.69"/>
  </r>
  <r>
    <s v="A3485798"/>
    <x v="528"/>
    <x v="1"/>
    <s v="CUST1005"/>
    <s v="Sophia Lee"/>
    <s v="Canada"/>
    <x v="6"/>
    <x v="4"/>
    <x v="9"/>
    <n v="1670"/>
    <n v="6.79"/>
    <n v="2.4"/>
    <x v="525"/>
    <n v="3"/>
    <n v="6"/>
    <n v="397.07999999999993"/>
    <n v="1.55"/>
    <n v="395.53"/>
  </r>
  <r>
    <s v="51D0E61A"/>
    <x v="529"/>
    <x v="8"/>
    <s v="CUST8586"/>
    <s v="Emily Das"/>
    <s v="Indonesia"/>
    <x v="0"/>
    <x v="3"/>
    <x v="7"/>
    <n v="4717"/>
    <n v="32.799999999999997"/>
    <n v="4.0999999999999996"/>
    <x v="526"/>
    <n v="5"/>
    <n v="15"/>
    <n v="1976.25"/>
    <n v="9.15"/>
    <n v="1967.1"/>
  </r>
  <r>
    <s v="5F3969F4"/>
    <x v="530"/>
    <x v="4"/>
    <s v="CUST3084"/>
    <s v="Ravi Khan"/>
    <s v="India"/>
    <x v="0"/>
    <x v="1"/>
    <x v="6"/>
    <n v="2402"/>
    <n v="45.22"/>
    <n v="5"/>
    <x v="527"/>
    <n v="1"/>
    <n v="10"/>
    <n v="73.899999999999991"/>
    <n v="2.52"/>
    <n v="71.38"/>
  </r>
  <r>
    <s v="AF1EB0BF"/>
    <x v="155"/>
    <x v="4"/>
    <s v="CUST3819"/>
    <s v="David Das"/>
    <s v="New Zealand"/>
    <x v="6"/>
    <x v="3"/>
    <x v="0"/>
    <n v="3118"/>
    <n v="17.61"/>
    <n v="4.7"/>
    <x v="528"/>
    <n v="1"/>
    <n v="17"/>
    <n v="470.56"/>
    <n v="3.64"/>
    <n v="466.92"/>
  </r>
  <r>
    <s v="E76E682D"/>
    <x v="258"/>
    <x v="1"/>
    <s v="CUST8805"/>
    <s v="Ahmed Brown"/>
    <s v="New Zealand"/>
    <x v="3"/>
    <x v="0"/>
    <x v="12"/>
    <n v="2598"/>
    <n v="10.76"/>
    <n v="1.6"/>
    <x v="529"/>
    <n v="5"/>
    <n v="19"/>
    <n v="1438.3"/>
    <n v="4.4800000000000004"/>
    <n v="1433.82"/>
  </r>
  <r>
    <s v="A5C9BDE1"/>
    <x v="531"/>
    <x v="2"/>
    <s v="CUST2532"/>
    <s v="Ravi Taylor"/>
    <s v="Philippines"/>
    <x v="2"/>
    <x v="3"/>
    <x v="12"/>
    <n v="4757"/>
    <n v="41.64"/>
    <n v="4.0999999999999996"/>
    <x v="146"/>
    <n v="3"/>
    <n v="13"/>
    <n v="219.95999999999998"/>
    <n v="9.94"/>
    <n v="210.02"/>
  </r>
  <r>
    <s v="7ABFCEF7"/>
    <x v="532"/>
    <x v="3"/>
    <s v="CUST4013"/>
    <s v="Priya Singh"/>
    <s v="Canada"/>
    <x v="1"/>
    <x v="2"/>
    <x v="13"/>
    <n v="3093"/>
    <n v="45.89"/>
    <n v="4.9000000000000004"/>
    <x v="530"/>
    <n v="3"/>
    <n v="8"/>
    <n v="721.92"/>
    <n v="9.2899999999999991"/>
    <n v="712.63"/>
  </r>
  <r>
    <s v="AB979A8B"/>
    <x v="533"/>
    <x v="2"/>
    <s v="CUST6852"/>
    <s v="Ahmed Sharma"/>
    <s v="South Africa"/>
    <x v="6"/>
    <x v="3"/>
    <x v="2"/>
    <n v="1831"/>
    <n v="34.9"/>
    <n v="3.1"/>
    <x v="531"/>
    <n v="2"/>
    <n v="19"/>
    <n v="1085.28"/>
    <n v="4.8600000000000003"/>
    <n v="1080.42"/>
  </r>
  <r>
    <s v="9C53958B"/>
    <x v="534"/>
    <x v="5"/>
    <s v="CUST4934"/>
    <s v="Ahmed Khan"/>
    <s v="Philippines"/>
    <x v="0"/>
    <x v="1"/>
    <x v="1"/>
    <n v="4242"/>
    <n v="44.55"/>
    <n v="1.2"/>
    <x v="532"/>
    <n v="5"/>
    <n v="3"/>
    <n v="473.4"/>
    <n v="3.42"/>
    <n v="469.98"/>
  </r>
  <r>
    <s v="9A474500"/>
    <x v="535"/>
    <x v="1"/>
    <s v="CUST3325"/>
    <s v="John Khan"/>
    <s v="Philippines"/>
    <x v="2"/>
    <x v="1"/>
    <x v="10"/>
    <n v="2733"/>
    <n v="13.75"/>
    <n v="4"/>
    <x v="533"/>
    <n v="5"/>
    <n v="20"/>
    <n v="3434.0000000000005"/>
    <n v="7.36"/>
    <n v="3426.64"/>
  </r>
  <r>
    <s v="14764B45"/>
    <x v="536"/>
    <x v="2"/>
    <s v="CUST5455"/>
    <s v="Sophia Garcia"/>
    <s v="Philippines"/>
    <x v="2"/>
    <x v="0"/>
    <x v="1"/>
    <n v="928"/>
    <n v="49.57"/>
    <n v="4.5"/>
    <x v="534"/>
    <n v="4"/>
    <n v="6"/>
    <n v="370.32"/>
    <n v="1.22"/>
    <n v="369.1"/>
  </r>
  <r>
    <s v="D921BE0D"/>
    <x v="537"/>
    <x v="9"/>
    <s v="CUST4822"/>
    <s v="Sara Patel"/>
    <s v="South Africa"/>
    <x v="6"/>
    <x v="1"/>
    <x v="7"/>
    <n v="3295"/>
    <n v="49.51"/>
    <n v="2.5"/>
    <x v="535"/>
    <n v="1"/>
    <n v="8"/>
    <n v="179.04"/>
    <n v="7.96"/>
    <n v="171.08"/>
  </r>
  <r>
    <s v="D4BC67BB"/>
    <x v="538"/>
    <x v="6"/>
    <s v="CUST2881"/>
    <s v="Anita Smith"/>
    <s v="Philippines"/>
    <x v="5"/>
    <x v="3"/>
    <x v="7"/>
    <n v="595"/>
    <n v="37.74"/>
    <n v="2.7"/>
    <x v="536"/>
    <n v="4"/>
    <n v="5"/>
    <n v="653"/>
    <n v="8.89"/>
    <n v="644.11"/>
  </r>
  <r>
    <s v="D805C8A0"/>
    <x v="539"/>
    <x v="3"/>
    <s v="CUST5700"/>
    <s v="Anita Garcia"/>
    <s v="South Africa"/>
    <x v="4"/>
    <x v="0"/>
    <x v="0"/>
    <n v="4136"/>
    <n v="25.49"/>
    <n v="4.0999999999999996"/>
    <x v="537"/>
    <n v="4"/>
    <n v="13"/>
    <n v="289.64"/>
    <n v="3.86"/>
    <n v="285.77999999999997"/>
  </r>
  <r>
    <s v="37E25D2D"/>
    <x v="540"/>
    <x v="8"/>
    <s v="CUST4902"/>
    <s v="Anita Lee"/>
    <s v="Singapore"/>
    <x v="6"/>
    <x v="2"/>
    <x v="9"/>
    <n v="2554"/>
    <n v="8.49"/>
    <n v="3.7"/>
    <x v="538"/>
    <n v="1"/>
    <n v="5"/>
    <n v="142.4"/>
    <n v="3.61"/>
    <n v="138.79"/>
  </r>
  <r>
    <s v="56ADED34"/>
    <x v="541"/>
    <x v="5"/>
    <s v="CUST5744"/>
    <s v="Anita Smith"/>
    <s v="Australia"/>
    <x v="3"/>
    <x v="2"/>
    <x v="4"/>
    <n v="1850"/>
    <n v="32.43"/>
    <n v="3.6"/>
    <x v="463"/>
    <n v="3"/>
    <n v="17"/>
    <n v="542.13"/>
    <n v="5.8"/>
    <n v="536.33000000000004"/>
  </r>
  <r>
    <s v="3A3BFCB1"/>
    <x v="542"/>
    <x v="2"/>
    <s v="CUST3662"/>
    <s v="Kumar Garcia"/>
    <s v="Brazil"/>
    <x v="7"/>
    <x v="1"/>
    <x v="13"/>
    <n v="1315"/>
    <n v="16.07"/>
    <n v="3.1"/>
    <x v="539"/>
    <n v="4"/>
    <n v="19"/>
    <n v="1314.04"/>
    <n v="0.51"/>
    <n v="1313.53"/>
  </r>
  <r>
    <s v="5C77837B"/>
    <x v="543"/>
    <x v="4"/>
    <s v="CUST2419"/>
    <s v="Emily Khan"/>
    <s v="Australia"/>
    <x v="3"/>
    <x v="1"/>
    <x v="1"/>
    <n v="3518"/>
    <n v="13.21"/>
    <n v="1.2"/>
    <x v="540"/>
    <n v="1"/>
    <n v="10"/>
    <n v="168"/>
    <n v="1.1000000000000001"/>
    <n v="166.9"/>
  </r>
  <r>
    <s v="F011F6B6"/>
    <x v="544"/>
    <x v="5"/>
    <s v="CUST7256"/>
    <s v="John Das"/>
    <s v="Australia"/>
    <x v="7"/>
    <x v="4"/>
    <x v="1"/>
    <n v="616"/>
    <n v="27.8"/>
    <n v="4.3"/>
    <x v="541"/>
    <n v="1"/>
    <n v="1"/>
    <n v="12.3"/>
    <n v="0.2"/>
    <n v="12.1"/>
  </r>
  <r>
    <s v="0ABA3421"/>
    <x v="545"/>
    <x v="5"/>
    <s v="CUST3947"/>
    <s v="David Das"/>
    <s v="Singapore"/>
    <x v="0"/>
    <x v="2"/>
    <x v="12"/>
    <n v="2880"/>
    <n v="45.13"/>
    <n v="1.3"/>
    <x v="542"/>
    <n v="4"/>
    <n v="16"/>
    <n v="2275.84"/>
    <n v="6.42"/>
    <n v="2269.42"/>
  </r>
  <r>
    <s v="E03A2A96"/>
    <x v="59"/>
    <x v="7"/>
    <s v="CUST7534"/>
    <s v="Anita Brown"/>
    <s v="India"/>
    <x v="1"/>
    <x v="2"/>
    <x v="4"/>
    <n v="978"/>
    <n v="19.5"/>
    <n v="3.9"/>
    <x v="543"/>
    <n v="2"/>
    <n v="2"/>
    <n v="64.680000000000007"/>
    <n v="0.86"/>
    <n v="63.82"/>
  </r>
  <r>
    <s v="F876E872"/>
    <x v="546"/>
    <x v="3"/>
    <s v="CUST5350"/>
    <s v="Ahmed Sharma"/>
    <s v="Philippines"/>
    <x v="8"/>
    <x v="0"/>
    <x v="14"/>
    <n v="844"/>
    <n v="17.559999999999999"/>
    <n v="3.1"/>
    <x v="48"/>
    <n v="1"/>
    <n v="4"/>
    <n v="96.36"/>
    <n v="8.59"/>
    <n v="87.77"/>
  </r>
  <r>
    <s v="62CF6878"/>
    <x v="547"/>
    <x v="4"/>
    <s v="CUST9320"/>
    <s v="John Khan"/>
    <s v="Philippines"/>
    <x v="0"/>
    <x v="1"/>
    <x v="7"/>
    <n v="348"/>
    <n v="41.94"/>
    <n v="1.2"/>
    <x v="544"/>
    <n v="5"/>
    <n v="4"/>
    <n v="794.59999999999991"/>
    <n v="7.69"/>
    <n v="786.91"/>
  </r>
  <r>
    <s v="B0120C18"/>
    <x v="548"/>
    <x v="2"/>
    <s v="CUST5528"/>
    <s v="Sara Khan"/>
    <s v="Canada"/>
    <x v="3"/>
    <x v="2"/>
    <x v="0"/>
    <n v="2665"/>
    <n v="46.13"/>
    <n v="3.7"/>
    <x v="545"/>
    <n v="2"/>
    <n v="2"/>
    <n v="85.96"/>
    <n v="2.1"/>
    <n v="83.86"/>
  </r>
  <r>
    <s v="F60105BF"/>
    <x v="549"/>
    <x v="8"/>
    <s v="CUST3126"/>
    <s v="Sara Sharma"/>
    <s v="New Zealand"/>
    <x v="5"/>
    <x v="0"/>
    <x v="8"/>
    <n v="3422"/>
    <n v="46.75"/>
    <n v="2.2999999999999998"/>
    <x v="546"/>
    <n v="5"/>
    <n v="17"/>
    <n v="3235.1000000000004"/>
    <n v="9.81"/>
    <n v="3225.29"/>
  </r>
  <r>
    <s v="E730C9CB"/>
    <x v="550"/>
    <x v="0"/>
    <s v="CUST2408"/>
    <s v="Sara Sharma"/>
    <s v="Australia"/>
    <x v="1"/>
    <x v="4"/>
    <x v="13"/>
    <n v="1250"/>
    <n v="9.83"/>
    <n v="4.5"/>
    <x v="547"/>
    <n v="1"/>
    <n v="4"/>
    <n v="108.12"/>
    <n v="8.59"/>
    <n v="99.53"/>
  </r>
  <r>
    <s v="8E344DA0"/>
    <x v="551"/>
    <x v="6"/>
    <s v="CUST3065"/>
    <s v="Priya Smith"/>
    <s v="Philippines"/>
    <x v="8"/>
    <x v="4"/>
    <x v="3"/>
    <n v="1849"/>
    <n v="46.22"/>
    <n v="1.5"/>
    <x v="548"/>
    <n v="2"/>
    <n v="18"/>
    <n v="360.36"/>
    <n v="8.65"/>
    <n v="351.71"/>
  </r>
  <r>
    <s v="939D9626"/>
    <x v="552"/>
    <x v="9"/>
    <s v="CUST5278"/>
    <s v="David Smith"/>
    <s v="Indonesia"/>
    <x v="8"/>
    <x v="2"/>
    <x v="3"/>
    <n v="3041"/>
    <n v="34.93"/>
    <n v="1.5"/>
    <x v="549"/>
    <n v="5"/>
    <n v="5"/>
    <n v="354.25"/>
    <n v="3.95"/>
    <n v="350.3"/>
  </r>
  <r>
    <s v="C231663B"/>
    <x v="553"/>
    <x v="6"/>
    <s v="CUST2988"/>
    <s v="John Patel"/>
    <s v="Brazil"/>
    <x v="0"/>
    <x v="2"/>
    <x v="13"/>
    <n v="1413"/>
    <n v="8.25"/>
    <n v="1"/>
    <x v="550"/>
    <n v="5"/>
    <n v="12"/>
    <n v="436.79999999999995"/>
    <n v="0.84"/>
    <n v="435.96"/>
  </r>
  <r>
    <s v="5B5E9295"/>
    <x v="554"/>
    <x v="4"/>
    <s v="CUST8262"/>
    <s v="Emily Patel"/>
    <s v="Indonesia"/>
    <x v="7"/>
    <x v="3"/>
    <x v="12"/>
    <n v="2867"/>
    <n v="37.81"/>
    <n v="3.9"/>
    <x v="551"/>
    <n v="2"/>
    <n v="20"/>
    <n v="1579.6000000000001"/>
    <n v="7.2"/>
    <n v="1572.4"/>
  </r>
  <r>
    <s v="70DBF314"/>
    <x v="555"/>
    <x v="7"/>
    <s v="CUST8278"/>
    <s v="Ahmed Sharma"/>
    <s v="Indonesia"/>
    <x v="0"/>
    <x v="1"/>
    <x v="7"/>
    <n v="1954"/>
    <n v="27.72"/>
    <n v="4"/>
    <x v="552"/>
    <n v="4"/>
    <n v="7"/>
    <n v="1063.1599999999999"/>
    <n v="8.44"/>
    <n v="1054.72"/>
  </r>
  <r>
    <s v="CCA04A93"/>
    <x v="556"/>
    <x v="8"/>
    <s v="CUST1643"/>
    <s v="Sophia Das"/>
    <s v="Canada"/>
    <x v="1"/>
    <x v="1"/>
    <x v="4"/>
    <n v="1233"/>
    <n v="28.42"/>
    <n v="2.7"/>
    <x v="553"/>
    <n v="1"/>
    <n v="14"/>
    <n v="307.85999999999996"/>
    <n v="0.28999999999999998"/>
    <n v="307.57"/>
  </r>
  <r>
    <s v="F6E3490E"/>
    <x v="557"/>
    <x v="8"/>
    <s v="CUST8540"/>
    <s v="Kumar Lee"/>
    <s v="Qatar"/>
    <x v="7"/>
    <x v="2"/>
    <x v="14"/>
    <n v="3256"/>
    <n v="5.26"/>
    <n v="4.9000000000000004"/>
    <x v="554"/>
    <n v="5"/>
    <n v="20"/>
    <n v="1395"/>
    <n v="7.67"/>
    <n v="1387.33"/>
  </r>
  <r>
    <s v="D644991A"/>
    <x v="558"/>
    <x v="9"/>
    <s v="CUST1568"/>
    <s v="Anita Smith"/>
    <s v="New Zealand"/>
    <x v="5"/>
    <x v="4"/>
    <x v="13"/>
    <n v="3583"/>
    <n v="32.72"/>
    <n v="2.4"/>
    <x v="44"/>
    <n v="4"/>
    <n v="6"/>
    <n v="731.28"/>
    <n v="7.09"/>
    <n v="724.19"/>
  </r>
  <r>
    <s v="ADE8CE77"/>
    <x v="559"/>
    <x v="6"/>
    <s v="CUST5774"/>
    <s v="Sara Singh"/>
    <s v="Canada"/>
    <x v="8"/>
    <x v="1"/>
    <x v="14"/>
    <n v="4155"/>
    <n v="5.71"/>
    <n v="3.9"/>
    <x v="555"/>
    <n v="1"/>
    <n v="8"/>
    <n v="259.36"/>
    <n v="4.5999999999999996"/>
    <n v="254.76"/>
  </r>
  <r>
    <s v="89FC30F4"/>
    <x v="450"/>
    <x v="4"/>
    <s v="CUST2015"/>
    <s v="Priya Khan"/>
    <s v="Brazil"/>
    <x v="4"/>
    <x v="0"/>
    <x v="0"/>
    <n v="3312"/>
    <n v="13.45"/>
    <n v="2.9"/>
    <x v="556"/>
    <n v="2"/>
    <n v="7"/>
    <n v="534.80000000000007"/>
    <n v="9.86"/>
    <n v="524.94000000000005"/>
  </r>
  <r>
    <s v="2E044F8A"/>
    <x v="560"/>
    <x v="8"/>
    <s v="CUST5460"/>
    <s v="Anita Brown"/>
    <s v="New Zealand"/>
    <x v="8"/>
    <x v="3"/>
    <x v="11"/>
    <n v="2962"/>
    <n v="8.57"/>
    <n v="3.6"/>
    <x v="557"/>
    <n v="3"/>
    <n v="20"/>
    <n v="1293.5999999999999"/>
    <n v="4.1900000000000004"/>
    <n v="1289.4100000000001"/>
  </r>
  <r>
    <s v="8A601897"/>
    <x v="506"/>
    <x v="9"/>
    <s v="CUST5413"/>
    <s v="Sara Garcia"/>
    <s v="New Zealand"/>
    <x v="7"/>
    <x v="0"/>
    <x v="6"/>
    <n v="3890"/>
    <n v="30.92"/>
    <n v="3.7"/>
    <x v="558"/>
    <n v="1"/>
    <n v="4"/>
    <n v="44.52"/>
    <n v="4.0599999999999996"/>
    <n v="40.46"/>
  </r>
  <r>
    <s v="A82844EC"/>
    <x v="561"/>
    <x v="5"/>
    <s v="CUST2418"/>
    <s v="Sara Khan"/>
    <s v="Australia"/>
    <x v="7"/>
    <x v="2"/>
    <x v="13"/>
    <n v="4825"/>
    <n v="34.54"/>
    <n v="3.2"/>
    <x v="559"/>
    <n v="2"/>
    <n v="20"/>
    <n v="1272.8"/>
    <n v="9.69"/>
    <n v="1263.1099999999999"/>
  </r>
  <r>
    <s v="E25349CB"/>
    <x v="562"/>
    <x v="5"/>
    <s v="CUST3967"/>
    <s v="Ahmed Smith"/>
    <s v="Philippines"/>
    <x v="8"/>
    <x v="2"/>
    <x v="3"/>
    <n v="1705"/>
    <n v="11.55"/>
    <n v="1.6"/>
    <x v="560"/>
    <n v="1"/>
    <n v="13"/>
    <n v="257.78999999999996"/>
    <n v="1.86"/>
    <n v="255.93"/>
  </r>
  <r>
    <s v="89E6624F"/>
    <x v="178"/>
    <x v="2"/>
    <s v="CUST3944"/>
    <s v="David Garcia"/>
    <s v="Australia"/>
    <x v="2"/>
    <x v="2"/>
    <x v="1"/>
    <n v="3894"/>
    <n v="29.57"/>
    <n v="3.5"/>
    <x v="561"/>
    <n v="5"/>
    <n v="17"/>
    <n v="1245.25"/>
    <n v="4.95"/>
    <n v="1240.3"/>
  </r>
  <r>
    <s v="86B9764C"/>
    <x v="563"/>
    <x v="0"/>
    <s v="CUST1440"/>
    <s v="Ravi Das"/>
    <s v="Qatar"/>
    <x v="2"/>
    <x v="1"/>
    <x v="11"/>
    <n v="4633"/>
    <n v="26.22"/>
    <n v="4.0999999999999996"/>
    <x v="312"/>
    <n v="3"/>
    <n v="10"/>
    <n v="300.59999999999997"/>
    <n v="8.01"/>
    <n v="292.58999999999997"/>
  </r>
  <r>
    <s v="509C99EB"/>
    <x v="564"/>
    <x v="6"/>
    <s v="CUST3722"/>
    <s v="David Singh"/>
    <s v="Qatar"/>
    <x v="5"/>
    <x v="4"/>
    <x v="0"/>
    <n v="3607"/>
    <n v="47.52"/>
    <n v="1.3"/>
    <x v="562"/>
    <n v="5"/>
    <n v="4"/>
    <n v="454.20000000000005"/>
    <n v="8.86"/>
    <n v="445.34"/>
  </r>
  <r>
    <s v="1F530B23"/>
    <x v="565"/>
    <x v="6"/>
    <s v="CUST4821"/>
    <s v="David Das"/>
    <s v="Singapore"/>
    <x v="1"/>
    <x v="3"/>
    <x v="0"/>
    <n v="4107"/>
    <n v="13.5"/>
    <n v="1.4"/>
    <x v="563"/>
    <n v="1"/>
    <n v="10"/>
    <n v="174.89999999999998"/>
    <n v="1.49"/>
    <n v="173.41"/>
  </r>
  <r>
    <s v="56F34867"/>
    <x v="566"/>
    <x v="8"/>
    <s v="CUST8329"/>
    <s v="John Sharma"/>
    <s v="New Zealand"/>
    <x v="3"/>
    <x v="4"/>
    <x v="13"/>
    <n v="3122"/>
    <n v="34.340000000000003"/>
    <n v="3.1"/>
    <x v="564"/>
    <n v="2"/>
    <n v="14"/>
    <n v="452.19999999999993"/>
    <n v="7.74"/>
    <n v="444.46"/>
  </r>
  <r>
    <s v="B978067A"/>
    <x v="567"/>
    <x v="4"/>
    <s v="CUST7865"/>
    <s v="Ravi Brown"/>
    <s v="Indonesia"/>
    <x v="8"/>
    <x v="2"/>
    <x v="3"/>
    <n v="351"/>
    <n v="39.15"/>
    <n v="3.6"/>
    <x v="565"/>
    <n v="4"/>
    <n v="20"/>
    <n v="2646.3999999999996"/>
    <n v="6.89"/>
    <n v="2639.51"/>
  </r>
  <r>
    <s v="64353608"/>
    <x v="568"/>
    <x v="2"/>
    <s v="CUST2176"/>
    <s v="Emily Sharma"/>
    <s v="Canada"/>
    <x v="5"/>
    <x v="2"/>
    <x v="12"/>
    <n v="591"/>
    <n v="24.57"/>
    <n v="2.4"/>
    <x v="566"/>
    <n v="1"/>
    <n v="5"/>
    <n v="31.8"/>
    <n v="8.0500000000000007"/>
    <n v="23.75"/>
  </r>
  <r>
    <s v="E869F1C0"/>
    <x v="569"/>
    <x v="5"/>
    <s v="CUST7401"/>
    <s v="Ravi Brown"/>
    <s v="South Africa"/>
    <x v="1"/>
    <x v="2"/>
    <x v="4"/>
    <n v="583"/>
    <n v="15.26"/>
    <n v="2.7"/>
    <x v="420"/>
    <n v="4"/>
    <n v="4"/>
    <n v="443.04"/>
    <n v="4.4800000000000004"/>
    <n v="438.56"/>
  </r>
  <r>
    <s v="F9735BD7"/>
    <x v="570"/>
    <x v="0"/>
    <s v="CUST6333"/>
    <s v="John Patel"/>
    <s v="Brazil"/>
    <x v="0"/>
    <x v="3"/>
    <x v="0"/>
    <n v="3574"/>
    <n v="48"/>
    <n v="2.8"/>
    <x v="495"/>
    <n v="1"/>
    <n v="7"/>
    <n v="106.75"/>
    <n v="3.52"/>
    <n v="103.23"/>
  </r>
  <r>
    <s v="3DA4693F"/>
    <x v="571"/>
    <x v="5"/>
    <s v="CUST8489"/>
    <s v="David Brown"/>
    <s v="India"/>
    <x v="7"/>
    <x v="3"/>
    <x v="0"/>
    <n v="1959"/>
    <n v="19.57"/>
    <n v="4.7"/>
    <x v="567"/>
    <n v="2"/>
    <n v="4"/>
    <n v="305.83999999999997"/>
    <n v="3.29"/>
    <n v="302.55"/>
  </r>
  <r>
    <s v="A7CBD072"/>
    <x v="572"/>
    <x v="6"/>
    <s v="CUST2837"/>
    <s v="David Lee"/>
    <s v="Indonesia"/>
    <x v="3"/>
    <x v="3"/>
    <x v="5"/>
    <n v="1388"/>
    <n v="32.549999999999997"/>
    <n v="1.4"/>
    <x v="568"/>
    <n v="2"/>
    <n v="13"/>
    <n v="238.42"/>
    <n v="1.73"/>
    <n v="236.69"/>
  </r>
  <r>
    <s v="F4C644A6"/>
    <x v="573"/>
    <x v="7"/>
    <s v="CUST4140"/>
    <s v="Anita Patel"/>
    <s v="South Africa"/>
    <x v="6"/>
    <x v="4"/>
    <x v="11"/>
    <n v="2864"/>
    <n v="27.24"/>
    <n v="4.4000000000000004"/>
    <x v="569"/>
    <n v="5"/>
    <n v="1"/>
    <n v="37.1"/>
    <n v="9.64"/>
    <n v="27.46"/>
  </r>
  <r>
    <s v="16D836AB"/>
    <x v="574"/>
    <x v="9"/>
    <s v="CUST3509"/>
    <s v="Ravi Garcia"/>
    <s v="Australia"/>
    <x v="7"/>
    <x v="2"/>
    <x v="0"/>
    <n v="1388"/>
    <n v="31.75"/>
    <n v="4.4000000000000004"/>
    <x v="570"/>
    <n v="2"/>
    <n v="17"/>
    <n v="476.68"/>
    <n v="3.71"/>
    <n v="472.97"/>
  </r>
  <r>
    <s v="E08CB522"/>
    <x v="575"/>
    <x v="9"/>
    <s v="CUST6569"/>
    <s v="Sophia Taylor"/>
    <s v="Qatar"/>
    <x v="1"/>
    <x v="2"/>
    <x v="8"/>
    <n v="1412"/>
    <n v="14.94"/>
    <n v="4.7"/>
    <x v="571"/>
    <n v="5"/>
    <n v="19"/>
    <n v="2096.65"/>
    <n v="9.52"/>
    <n v="2087.13"/>
  </r>
  <r>
    <s v="BA8F704A"/>
    <x v="576"/>
    <x v="0"/>
    <s v="CUST5230"/>
    <s v="Ravi Patel"/>
    <s v="Singapore"/>
    <x v="2"/>
    <x v="2"/>
    <x v="12"/>
    <n v="4696"/>
    <n v="42.95"/>
    <n v="3.2"/>
    <x v="572"/>
    <n v="4"/>
    <n v="5"/>
    <n v="352.40000000000003"/>
    <n v="7.25"/>
    <n v="345.15"/>
  </r>
  <r>
    <s v="6B7BD4FA"/>
    <x v="577"/>
    <x v="7"/>
    <s v="CUST3819"/>
    <s v="Priya Garcia"/>
    <s v="South Africa"/>
    <x v="0"/>
    <x v="2"/>
    <x v="14"/>
    <n v="4609"/>
    <n v="44.75"/>
    <n v="1.8"/>
    <x v="573"/>
    <n v="1"/>
    <n v="3"/>
    <n v="89.4"/>
    <n v="7.64"/>
    <n v="81.760000000000005"/>
  </r>
  <r>
    <s v="D23CD564"/>
    <x v="578"/>
    <x v="6"/>
    <s v="CUST6107"/>
    <s v="John Garcia"/>
    <s v="Australia"/>
    <x v="5"/>
    <x v="4"/>
    <x v="14"/>
    <n v="4729"/>
    <n v="41.78"/>
    <n v="2.5"/>
    <x v="574"/>
    <n v="3"/>
    <n v="5"/>
    <n v="435.75"/>
    <n v="2.76"/>
    <n v="432.99"/>
  </r>
  <r>
    <s v="EEDA1B8C"/>
    <x v="579"/>
    <x v="1"/>
    <s v="CUST2390"/>
    <s v="Anita Garcia"/>
    <s v="India"/>
    <x v="7"/>
    <x v="4"/>
    <x v="5"/>
    <n v="3841"/>
    <n v="6.34"/>
    <n v="1.9"/>
    <x v="575"/>
    <n v="4"/>
    <n v="12"/>
    <n v="1779.3600000000001"/>
    <n v="0.1"/>
    <n v="1779.26"/>
  </r>
  <r>
    <s v="5B86BBB9"/>
    <x v="580"/>
    <x v="7"/>
    <s v="CUST7614"/>
    <s v="Priya Garcia"/>
    <s v="Brazil"/>
    <x v="6"/>
    <x v="0"/>
    <x v="10"/>
    <n v="508"/>
    <n v="16.8"/>
    <n v="1.5"/>
    <x v="377"/>
    <n v="3"/>
    <n v="16"/>
    <n v="509.76"/>
    <n v="5.86"/>
    <n v="503.9"/>
  </r>
  <r>
    <s v="AA59827E"/>
    <x v="581"/>
    <x v="7"/>
    <s v="CUST1432"/>
    <s v="Sophia Taylor"/>
    <s v="South Africa"/>
    <x v="6"/>
    <x v="0"/>
    <x v="8"/>
    <n v="3003"/>
    <n v="23.68"/>
    <n v="3.4"/>
    <x v="576"/>
    <n v="1"/>
    <n v="20"/>
    <n v="797.8"/>
    <n v="0"/>
    <n v="797.8"/>
  </r>
  <r>
    <s v="48C837B1"/>
    <x v="39"/>
    <x v="9"/>
    <s v="CUST8487"/>
    <s v="John Khan"/>
    <s v="Australia"/>
    <x v="8"/>
    <x v="2"/>
    <x v="10"/>
    <n v="3795"/>
    <n v="13.86"/>
    <n v="2.9"/>
    <x v="83"/>
    <n v="1"/>
    <n v="1"/>
    <n v="35.69"/>
    <n v="7.74"/>
    <n v="27.95"/>
  </r>
  <r>
    <s v="EC0D3C39"/>
    <x v="239"/>
    <x v="9"/>
    <s v="CUST4640"/>
    <s v="Sara Sharma"/>
    <s v="Qatar"/>
    <x v="6"/>
    <x v="0"/>
    <x v="0"/>
    <n v="3999"/>
    <n v="22.59"/>
    <n v="3.8"/>
    <x v="1"/>
    <n v="1"/>
    <n v="8"/>
    <n v="100.08"/>
    <n v="3.39"/>
    <n v="96.69"/>
  </r>
  <r>
    <s v="B1D57C08"/>
    <x v="582"/>
    <x v="0"/>
    <s v="CUST1513"/>
    <s v="Ahmed Smith"/>
    <s v="Australia"/>
    <x v="7"/>
    <x v="1"/>
    <x v="1"/>
    <n v="3700"/>
    <n v="8.84"/>
    <n v="2.1"/>
    <x v="577"/>
    <n v="4"/>
    <n v="15"/>
    <n v="763.2"/>
    <n v="3.73"/>
    <n v="759.47"/>
  </r>
  <r>
    <s v="CC750671"/>
    <x v="549"/>
    <x v="6"/>
    <s v="CUST8387"/>
    <s v="Emily Singh"/>
    <s v="Australia"/>
    <x v="0"/>
    <x v="0"/>
    <x v="1"/>
    <n v="1952"/>
    <n v="10.3"/>
    <n v="3.7"/>
    <x v="578"/>
    <n v="4"/>
    <n v="17"/>
    <n v="495.72"/>
    <n v="4.66"/>
    <n v="491.06"/>
  </r>
  <r>
    <s v="434505A9"/>
    <x v="583"/>
    <x v="7"/>
    <s v="CUST6894"/>
    <s v="Ravi Das"/>
    <s v="Qatar"/>
    <x v="4"/>
    <x v="4"/>
    <x v="7"/>
    <n v="398"/>
    <n v="5.26"/>
    <n v="4.5999999999999996"/>
    <x v="579"/>
    <n v="3"/>
    <n v="18"/>
    <n v="276.48"/>
    <n v="2.5299999999999998"/>
    <n v="273.95"/>
  </r>
  <r>
    <s v="0156E408"/>
    <x v="457"/>
    <x v="3"/>
    <s v="CUST3888"/>
    <s v="Priya Singh"/>
    <s v="New Zealand"/>
    <x v="7"/>
    <x v="3"/>
    <x v="6"/>
    <n v="2368"/>
    <n v="49.59"/>
    <n v="2.2000000000000002"/>
    <x v="210"/>
    <n v="4"/>
    <n v="1"/>
    <n v="72.48"/>
    <n v="8.5299999999999994"/>
    <n v="63.95"/>
  </r>
  <r>
    <s v="EE3BFD0F"/>
    <x v="584"/>
    <x v="6"/>
    <s v="CUST6368"/>
    <s v="Sophia Taylor"/>
    <s v="Australia"/>
    <x v="3"/>
    <x v="3"/>
    <x v="8"/>
    <n v="225"/>
    <n v="20.02"/>
    <n v="4.9000000000000004"/>
    <x v="580"/>
    <n v="5"/>
    <n v="3"/>
    <n v="124.65"/>
    <n v="1.4"/>
    <n v="123.25"/>
  </r>
  <r>
    <s v="BF9D859C"/>
    <x v="190"/>
    <x v="0"/>
    <s v="CUST1085"/>
    <s v="David Singh"/>
    <s v="Qatar"/>
    <x v="6"/>
    <x v="3"/>
    <x v="8"/>
    <n v="4580"/>
    <n v="6.33"/>
    <n v="4"/>
    <x v="581"/>
    <n v="3"/>
    <n v="20"/>
    <n v="2277.6"/>
    <n v="5.79"/>
    <n v="2271.81"/>
  </r>
  <r>
    <s v="3F64CEE8"/>
    <x v="585"/>
    <x v="1"/>
    <s v="CUST8203"/>
    <s v="David Khan"/>
    <s v="Australia"/>
    <x v="5"/>
    <x v="0"/>
    <x v="11"/>
    <n v="4164"/>
    <n v="28.45"/>
    <n v="3"/>
    <x v="582"/>
    <n v="2"/>
    <n v="1"/>
    <n v="22.14"/>
    <n v="4.28"/>
    <n v="17.86"/>
  </r>
  <r>
    <s v="98F19184"/>
    <x v="134"/>
    <x v="4"/>
    <s v="CUST5246"/>
    <s v="Ahmed Taylor"/>
    <s v="Qatar"/>
    <x v="6"/>
    <x v="1"/>
    <x v="11"/>
    <n v="2989"/>
    <n v="28.74"/>
    <n v="4.9000000000000004"/>
    <x v="583"/>
    <n v="2"/>
    <n v="9"/>
    <n v="589.67999999999995"/>
    <n v="6.43"/>
    <n v="583.25"/>
  </r>
  <r>
    <s v="BAC9177E"/>
    <x v="586"/>
    <x v="7"/>
    <s v="CUST7099"/>
    <s v="Sophia Das"/>
    <s v="Brazil"/>
    <x v="7"/>
    <x v="4"/>
    <x v="7"/>
    <n v="1035"/>
    <n v="38.700000000000003"/>
    <n v="4.7"/>
    <x v="584"/>
    <n v="1"/>
    <n v="6"/>
    <n v="82.02"/>
    <n v="6.73"/>
    <n v="75.290000000000006"/>
  </r>
  <r>
    <s v="2C32A83B"/>
    <x v="587"/>
    <x v="2"/>
    <s v="CUST6396"/>
    <s v="Kumar Garcia"/>
    <s v="Qatar"/>
    <x v="0"/>
    <x v="4"/>
    <x v="0"/>
    <n v="2581"/>
    <n v="30.14"/>
    <n v="4.8"/>
    <x v="392"/>
    <n v="1"/>
    <n v="15"/>
    <n v="111.9"/>
    <n v="0.84"/>
    <n v="111.06"/>
  </r>
  <r>
    <s v="A165E36A"/>
    <x v="588"/>
    <x v="3"/>
    <s v="CUST7566"/>
    <s v="Kumar Smith"/>
    <s v="Australia"/>
    <x v="6"/>
    <x v="3"/>
    <x v="3"/>
    <n v="1916"/>
    <n v="49.47"/>
    <n v="2.4"/>
    <x v="379"/>
    <n v="3"/>
    <n v="12"/>
    <n v="261"/>
    <n v="0.28000000000000003"/>
    <n v="260.72000000000003"/>
  </r>
  <r>
    <s v="6CA6D290"/>
    <x v="589"/>
    <x v="6"/>
    <s v="CUST3489"/>
    <s v="Ravi Sharma"/>
    <s v="Brazil"/>
    <x v="0"/>
    <x v="1"/>
    <x v="8"/>
    <n v="2288"/>
    <n v="45.68"/>
    <n v="3.8"/>
    <x v="585"/>
    <n v="4"/>
    <n v="12"/>
    <n v="856.80000000000007"/>
    <n v="5.78"/>
    <n v="851.02"/>
  </r>
  <r>
    <s v="C61DC098"/>
    <x v="590"/>
    <x v="7"/>
    <s v="CUST4163"/>
    <s v="David Smith"/>
    <s v="Brazil"/>
    <x v="0"/>
    <x v="4"/>
    <x v="8"/>
    <n v="3721"/>
    <n v="42.28"/>
    <n v="1.2"/>
    <x v="91"/>
    <n v="1"/>
    <n v="6"/>
    <n v="146.88"/>
    <n v="8.83"/>
    <n v="138.05000000000001"/>
  </r>
  <r>
    <s v="A4F042EF"/>
    <x v="591"/>
    <x v="4"/>
    <s v="CUST2252"/>
    <s v="Anita Garcia"/>
    <s v="Brazil"/>
    <x v="8"/>
    <x v="4"/>
    <x v="3"/>
    <n v="4367"/>
    <n v="7.73"/>
    <n v="3.3"/>
    <x v="586"/>
    <n v="1"/>
    <n v="12"/>
    <n v="109.44"/>
    <n v="1.83"/>
    <n v="107.61"/>
  </r>
  <r>
    <s v="EC204BE9"/>
    <x v="592"/>
    <x v="7"/>
    <s v="CUST1824"/>
    <s v="Priya Patel"/>
    <s v="Qatar"/>
    <x v="2"/>
    <x v="4"/>
    <x v="10"/>
    <n v="2957"/>
    <n v="30.23"/>
    <n v="3.3"/>
    <x v="423"/>
    <n v="1"/>
    <n v="1"/>
    <n v="27.12"/>
    <n v="8.0500000000000007"/>
    <n v="19.07"/>
  </r>
  <r>
    <s v="AD7EDA5E"/>
    <x v="593"/>
    <x v="8"/>
    <s v="CUST7589"/>
    <s v="John Smith"/>
    <s v="Australia"/>
    <x v="1"/>
    <x v="3"/>
    <x v="13"/>
    <n v="531"/>
    <n v="49.96"/>
    <n v="3.6"/>
    <x v="587"/>
    <n v="4"/>
    <n v="12"/>
    <n v="1089.1200000000001"/>
    <n v="0.77"/>
    <n v="1088.3499999999999"/>
  </r>
  <r>
    <s v="D8B85E7B"/>
    <x v="594"/>
    <x v="4"/>
    <s v="CUST3472"/>
    <s v="Emily Lee"/>
    <s v="Philippines"/>
    <x v="8"/>
    <x v="1"/>
    <x v="2"/>
    <n v="1266"/>
    <n v="15.66"/>
    <n v="1.5"/>
    <x v="518"/>
    <n v="5"/>
    <n v="10"/>
    <n v="722"/>
    <n v="5.57"/>
    <n v="716.43"/>
  </r>
  <r>
    <s v="F3CD7F65"/>
    <x v="595"/>
    <x v="9"/>
    <s v="CUST1613"/>
    <s v="Kumar Khan"/>
    <s v="South Africa"/>
    <x v="6"/>
    <x v="3"/>
    <x v="6"/>
    <n v="3143"/>
    <n v="48.57"/>
    <n v="1.2"/>
    <x v="588"/>
    <n v="2"/>
    <n v="11"/>
    <n v="401.94"/>
    <n v="0.21"/>
    <n v="401.73"/>
  </r>
  <r>
    <s v="8C7E02EC"/>
    <x v="596"/>
    <x v="3"/>
    <s v="CUST3624"/>
    <s v="Emily Singh"/>
    <s v="Qatar"/>
    <x v="0"/>
    <x v="4"/>
    <x v="3"/>
    <n v="1580"/>
    <n v="17.89"/>
    <n v="4.2"/>
    <x v="589"/>
    <n v="1"/>
    <n v="20"/>
    <n v="132"/>
    <n v="8.73"/>
    <n v="123.27"/>
  </r>
  <r>
    <s v="D3883F0A"/>
    <x v="597"/>
    <x v="7"/>
    <s v="CUST6637"/>
    <s v="Sara Brown"/>
    <s v="Philippines"/>
    <x v="8"/>
    <x v="3"/>
    <x v="11"/>
    <n v="1033"/>
    <n v="48.04"/>
    <n v="1.6"/>
    <x v="590"/>
    <n v="1"/>
    <n v="6"/>
    <n v="140.57999999999998"/>
    <n v="7.77"/>
    <n v="132.81"/>
  </r>
  <r>
    <s v="0B53207D"/>
    <x v="598"/>
    <x v="5"/>
    <s v="CUST2151"/>
    <s v="Priya Patel"/>
    <s v="Singapore"/>
    <x v="3"/>
    <x v="3"/>
    <x v="11"/>
    <n v="1139"/>
    <n v="34.89"/>
    <n v="1.3"/>
    <x v="591"/>
    <n v="5"/>
    <n v="9"/>
    <n v="1374.3"/>
    <n v="4.6900000000000004"/>
    <n v="1369.61"/>
  </r>
  <r>
    <s v="75A12811"/>
    <x v="599"/>
    <x v="1"/>
    <s v="CUST4607"/>
    <s v="Sara Taylor"/>
    <s v="Brazil"/>
    <x v="1"/>
    <x v="0"/>
    <x v="1"/>
    <n v="4970"/>
    <n v="28.42"/>
    <n v="3.9"/>
    <x v="592"/>
    <n v="5"/>
    <n v="18"/>
    <n v="3503.7000000000003"/>
    <n v="1.52"/>
    <n v="3502.18"/>
  </r>
  <r>
    <s v="64698B35"/>
    <x v="600"/>
    <x v="5"/>
    <s v="CUST3642"/>
    <s v="Priya Khan"/>
    <s v="Qatar"/>
    <x v="6"/>
    <x v="3"/>
    <x v="8"/>
    <n v="1996"/>
    <n v="19.59"/>
    <n v="1.7"/>
    <x v="593"/>
    <n v="5"/>
    <n v="14"/>
    <n v="1990.8000000000002"/>
    <n v="4.95"/>
    <n v="1985.85"/>
  </r>
  <r>
    <s v="6855BE14"/>
    <x v="601"/>
    <x v="5"/>
    <s v="CUST1604"/>
    <s v="Emily Sharma"/>
    <s v="Indonesia"/>
    <x v="1"/>
    <x v="0"/>
    <x v="2"/>
    <n v="1647"/>
    <n v="37.22"/>
    <n v="3.9"/>
    <x v="594"/>
    <n v="3"/>
    <n v="13"/>
    <n v="202.41"/>
    <n v="1.61"/>
    <n v="200.8"/>
  </r>
  <r>
    <s v="F18420BA"/>
    <x v="602"/>
    <x v="4"/>
    <s v="CUST2958"/>
    <s v="Sara Taylor"/>
    <s v="Singapore"/>
    <x v="7"/>
    <x v="0"/>
    <x v="14"/>
    <n v="871"/>
    <n v="8.68"/>
    <n v="1"/>
    <x v="595"/>
    <n v="3"/>
    <n v="13"/>
    <n v="1109.55"/>
    <n v="0.95"/>
    <n v="1108.5999999999999"/>
  </r>
  <r>
    <s v="436FA073"/>
    <x v="203"/>
    <x v="1"/>
    <s v="CUST8963"/>
    <s v="Sara Taylor"/>
    <s v="Brazil"/>
    <x v="2"/>
    <x v="3"/>
    <x v="2"/>
    <n v="1517"/>
    <n v="14.56"/>
    <n v="4.5999999999999996"/>
    <x v="596"/>
    <n v="3"/>
    <n v="3"/>
    <n v="79.92"/>
    <n v="3.29"/>
    <n v="76.63"/>
  </r>
  <r>
    <s v="1EBF35B3"/>
    <x v="603"/>
    <x v="4"/>
    <s v="CUST4018"/>
    <s v="Kumar Smith"/>
    <s v="Indonesia"/>
    <x v="3"/>
    <x v="1"/>
    <x v="0"/>
    <n v="1387"/>
    <n v="16.98"/>
    <n v="5"/>
    <x v="597"/>
    <n v="3"/>
    <n v="7"/>
    <n v="535.29"/>
    <n v="1.72"/>
    <n v="533.57000000000005"/>
  </r>
  <r>
    <s v="E14A4384"/>
    <x v="604"/>
    <x v="4"/>
    <s v="CUST1384"/>
    <s v="Ravi Patel"/>
    <s v="Australia"/>
    <x v="5"/>
    <x v="3"/>
    <x v="1"/>
    <n v="2438"/>
    <n v="5.5"/>
    <n v="4.2"/>
    <x v="598"/>
    <n v="5"/>
    <n v="1"/>
    <n v="98.65"/>
    <n v="8.11"/>
    <n v="90.54"/>
  </r>
  <r>
    <s v="9721670B"/>
    <x v="605"/>
    <x v="6"/>
    <s v="CUST5560"/>
    <s v="Sophia Patel"/>
    <s v="Canada"/>
    <x v="8"/>
    <x v="3"/>
    <x v="10"/>
    <n v="4469"/>
    <n v="14.62"/>
    <n v="4.5999999999999996"/>
    <x v="599"/>
    <n v="3"/>
    <n v="3"/>
    <n v="157.59"/>
    <n v="7.21"/>
    <n v="150.38"/>
  </r>
  <r>
    <s v="464346FC"/>
    <x v="606"/>
    <x v="7"/>
    <s v="CUST1078"/>
    <s v="John Garcia"/>
    <s v="Singapore"/>
    <x v="5"/>
    <x v="0"/>
    <x v="2"/>
    <n v="2429"/>
    <n v="16.100000000000001"/>
    <n v="2.2000000000000002"/>
    <x v="360"/>
    <n v="2"/>
    <n v="18"/>
    <n v="1080.72"/>
    <n v="2.0499999999999998"/>
    <n v="1078.67"/>
  </r>
  <r>
    <s v="BF634557"/>
    <x v="607"/>
    <x v="3"/>
    <s v="CUST4415"/>
    <s v="Sara Das"/>
    <s v="Australia"/>
    <x v="8"/>
    <x v="3"/>
    <x v="5"/>
    <n v="2311"/>
    <n v="16.29"/>
    <n v="4.9000000000000004"/>
    <x v="600"/>
    <n v="2"/>
    <n v="20"/>
    <n v="1048.4000000000001"/>
    <n v="4.22"/>
    <n v="1044.18"/>
  </r>
  <r>
    <s v="08347F98"/>
    <x v="608"/>
    <x v="6"/>
    <s v="CUST4923"/>
    <s v="Emily Lee"/>
    <s v="Indonesia"/>
    <x v="7"/>
    <x v="4"/>
    <x v="14"/>
    <n v="2666"/>
    <n v="25.33"/>
    <n v="3.6"/>
    <x v="601"/>
    <n v="3"/>
    <n v="13"/>
    <n v="553.79999999999995"/>
    <n v="7.17"/>
    <n v="546.63"/>
  </r>
  <r>
    <s v="0E571209"/>
    <x v="609"/>
    <x v="5"/>
    <s v="CUST4347"/>
    <s v="Sara Khan"/>
    <s v="Qatar"/>
    <x v="1"/>
    <x v="1"/>
    <x v="1"/>
    <n v="4343"/>
    <n v="35.72"/>
    <n v="2.2000000000000002"/>
    <x v="602"/>
    <n v="3"/>
    <n v="2"/>
    <n v="55.199999999999996"/>
    <n v="5.99"/>
    <n v="49.21"/>
  </r>
  <r>
    <s v="BF410384"/>
    <x v="610"/>
    <x v="3"/>
    <s v="CUST1297"/>
    <s v="Priya Smith"/>
    <s v="Singapore"/>
    <x v="1"/>
    <x v="0"/>
    <x v="13"/>
    <n v="3930"/>
    <n v="14.68"/>
    <n v="1.6"/>
    <x v="603"/>
    <n v="5"/>
    <n v="13"/>
    <n v="2195.0500000000002"/>
    <n v="5.37"/>
    <n v="2189.6799999999998"/>
  </r>
  <r>
    <s v="16BD7C46"/>
    <x v="611"/>
    <x v="4"/>
    <s v="CUST6334"/>
    <s v="David Taylor"/>
    <s v="Canada"/>
    <x v="0"/>
    <x v="1"/>
    <x v="6"/>
    <n v="1551"/>
    <n v="7.94"/>
    <n v="2"/>
    <x v="604"/>
    <n v="1"/>
    <n v="5"/>
    <n v="161.75"/>
    <n v="0.05"/>
    <n v="161.69999999999999"/>
  </r>
  <r>
    <s v="77B42B39"/>
    <x v="330"/>
    <x v="3"/>
    <s v="CUST2182"/>
    <s v="Sophia Khan"/>
    <s v="India"/>
    <x v="4"/>
    <x v="3"/>
    <x v="9"/>
    <n v="4385"/>
    <n v="45.44"/>
    <n v="3.6"/>
    <x v="605"/>
    <n v="2"/>
    <n v="11"/>
    <n v="414.26"/>
    <n v="6.07"/>
    <n v="408.19"/>
  </r>
  <r>
    <s v="29DC4E30"/>
    <x v="612"/>
    <x v="1"/>
    <s v="CUST7124"/>
    <s v="Kumar Smith"/>
    <s v="Brazil"/>
    <x v="3"/>
    <x v="0"/>
    <x v="2"/>
    <n v="802"/>
    <n v="33.17"/>
    <n v="2.9"/>
    <x v="606"/>
    <n v="3"/>
    <n v="6"/>
    <n v="359.28000000000003"/>
    <n v="9.8699999999999992"/>
    <n v="349.41"/>
  </r>
  <r>
    <s v="E335F221"/>
    <x v="108"/>
    <x v="7"/>
    <s v="CUST2372"/>
    <s v="Sara Sharma"/>
    <s v="South Africa"/>
    <x v="6"/>
    <x v="4"/>
    <x v="8"/>
    <n v="1851"/>
    <n v="23.51"/>
    <n v="4.0999999999999996"/>
    <x v="607"/>
    <n v="4"/>
    <n v="3"/>
    <n v="444.24"/>
    <n v="6.26"/>
    <n v="437.98"/>
  </r>
  <r>
    <s v="C26034BD"/>
    <x v="613"/>
    <x v="5"/>
    <s v="CUST7219"/>
    <s v="Ravi Garcia"/>
    <s v="Qatar"/>
    <x v="8"/>
    <x v="1"/>
    <x v="10"/>
    <n v="3334"/>
    <n v="36.619999999999997"/>
    <n v="2.9"/>
    <x v="608"/>
    <n v="1"/>
    <n v="17"/>
    <n v="122.91000000000001"/>
    <n v="7.23"/>
    <n v="115.68"/>
  </r>
  <r>
    <s v="C96895C9"/>
    <x v="614"/>
    <x v="6"/>
    <s v="CUST3529"/>
    <s v="Priya Das"/>
    <s v="Canada"/>
    <x v="3"/>
    <x v="1"/>
    <x v="1"/>
    <n v="1268"/>
    <n v="14.97"/>
    <n v="4.7"/>
    <x v="609"/>
    <n v="4"/>
    <n v="1"/>
    <n v="135.84"/>
    <n v="9.1300000000000008"/>
    <n v="126.71"/>
  </r>
  <r>
    <s v="41D38585"/>
    <x v="615"/>
    <x v="8"/>
    <s v="CUST6101"/>
    <s v="John Taylor"/>
    <s v="New Zealand"/>
    <x v="8"/>
    <x v="3"/>
    <x v="0"/>
    <n v="4925"/>
    <n v="44.32"/>
    <n v="4.0999999999999996"/>
    <x v="252"/>
    <n v="2"/>
    <n v="20"/>
    <n v="872"/>
    <n v="0.35"/>
    <n v="871.65"/>
  </r>
  <r>
    <s v="762C4D36"/>
    <x v="225"/>
    <x v="4"/>
    <s v="CUST4119"/>
    <s v="Sophia Lee"/>
    <s v="Australia"/>
    <x v="8"/>
    <x v="4"/>
    <x v="7"/>
    <n v="1428"/>
    <n v="7.58"/>
    <n v="1.3"/>
    <x v="610"/>
    <n v="3"/>
    <n v="19"/>
    <n v="2172.8399999999997"/>
    <n v="0.51"/>
    <n v="2172.33"/>
  </r>
  <r>
    <s v="782103F5"/>
    <x v="616"/>
    <x v="4"/>
    <s v="CUST6912"/>
    <s v="John Patel"/>
    <s v="Canada"/>
    <x v="0"/>
    <x v="3"/>
    <x v="5"/>
    <n v="2715"/>
    <n v="48.42"/>
    <n v="2.9"/>
    <x v="611"/>
    <n v="4"/>
    <n v="10"/>
    <n v="1014.4"/>
    <n v="1.97"/>
    <n v="1012.43"/>
  </r>
  <r>
    <s v="FFDC0ECE"/>
    <x v="617"/>
    <x v="7"/>
    <s v="CUST6332"/>
    <s v="Sara Das"/>
    <s v="Australia"/>
    <x v="3"/>
    <x v="1"/>
    <x v="3"/>
    <n v="2384"/>
    <n v="22.92"/>
    <n v="3.4"/>
    <x v="170"/>
    <n v="4"/>
    <n v="14"/>
    <n v="1347.92"/>
    <n v="6.05"/>
    <n v="1341.87"/>
  </r>
  <r>
    <s v="61764D69"/>
    <x v="618"/>
    <x v="5"/>
    <s v="CUST3315"/>
    <s v="Emily Sharma"/>
    <s v="South Africa"/>
    <x v="1"/>
    <x v="0"/>
    <x v="11"/>
    <n v="2784"/>
    <n v="10.27"/>
    <n v="2.9"/>
    <x v="612"/>
    <n v="5"/>
    <n v="19"/>
    <n v="506.34999999999997"/>
    <n v="3.39"/>
    <n v="502.96"/>
  </r>
  <r>
    <s v="55163FC4"/>
    <x v="619"/>
    <x v="4"/>
    <s v="CUST4714"/>
    <s v="Sophia Das"/>
    <s v="South Africa"/>
    <x v="7"/>
    <x v="0"/>
    <x v="8"/>
    <n v="2678"/>
    <n v="40.82"/>
    <n v="3.8"/>
    <x v="322"/>
    <n v="3"/>
    <n v="9"/>
    <n v="172.52999999999997"/>
    <n v="3.01"/>
    <n v="169.52"/>
  </r>
  <r>
    <s v="1B1EE042"/>
    <x v="620"/>
    <x v="7"/>
    <s v="CUST3309"/>
    <s v="Ahmed Sharma"/>
    <s v="Brazil"/>
    <x v="3"/>
    <x v="0"/>
    <x v="1"/>
    <n v="4395"/>
    <n v="33.65"/>
    <n v="3"/>
    <x v="613"/>
    <n v="1"/>
    <n v="14"/>
    <n v="382.90000000000003"/>
    <n v="7.62"/>
    <n v="375.28"/>
  </r>
  <r>
    <s v="43732E1C"/>
    <x v="621"/>
    <x v="1"/>
    <s v="CUST6908"/>
    <s v="David Singh"/>
    <s v="Canada"/>
    <x v="2"/>
    <x v="0"/>
    <x v="5"/>
    <n v="3183"/>
    <n v="15.8"/>
    <n v="1.8"/>
    <x v="614"/>
    <n v="5"/>
    <n v="14"/>
    <n v="1801.7999999999997"/>
    <n v="5.42"/>
    <n v="1796.38"/>
  </r>
  <r>
    <s v="38DC0135"/>
    <x v="372"/>
    <x v="9"/>
    <s v="CUST6956"/>
    <s v="Anita Taylor"/>
    <s v="Indonesia"/>
    <x v="8"/>
    <x v="0"/>
    <x v="6"/>
    <n v="156"/>
    <n v="38.76"/>
    <n v="2.2999999999999998"/>
    <x v="318"/>
    <n v="2"/>
    <n v="11"/>
    <n v="800.58"/>
    <n v="6"/>
    <n v="794.58"/>
  </r>
  <r>
    <s v="ADF9DB89"/>
    <x v="622"/>
    <x v="5"/>
    <s v="CUST7638"/>
    <s v="Ahmed Singh"/>
    <s v="Australia"/>
    <x v="8"/>
    <x v="0"/>
    <x v="5"/>
    <n v="500"/>
    <n v="13.48"/>
    <n v="3.6"/>
    <x v="615"/>
    <n v="4"/>
    <n v="11"/>
    <n v="1387.3200000000002"/>
    <n v="8.84"/>
    <n v="1378.48"/>
  </r>
  <r>
    <s v="4C6D5854"/>
    <x v="623"/>
    <x v="3"/>
    <s v="CUST4766"/>
    <s v="Ravi Singh"/>
    <s v="Canada"/>
    <x v="8"/>
    <x v="4"/>
    <x v="3"/>
    <n v="293"/>
    <n v="10.91"/>
    <n v="2.2000000000000002"/>
    <x v="616"/>
    <n v="1"/>
    <n v="13"/>
    <n v="459.94000000000005"/>
    <n v="5.0199999999999996"/>
    <n v="454.92"/>
  </r>
  <r>
    <s v="F568A66E"/>
    <x v="492"/>
    <x v="7"/>
    <s v="CUST9986"/>
    <s v="Priya Patel"/>
    <s v="South Africa"/>
    <x v="7"/>
    <x v="3"/>
    <x v="13"/>
    <n v="3357"/>
    <n v="29.24"/>
    <n v="4.7"/>
    <x v="146"/>
    <n v="3"/>
    <n v="7"/>
    <n v="118.43999999999998"/>
    <n v="3.5"/>
    <n v="114.94"/>
  </r>
  <r>
    <s v="6B100570"/>
    <x v="624"/>
    <x v="6"/>
    <s v="CUST3712"/>
    <s v="David Smith"/>
    <s v="Australia"/>
    <x v="0"/>
    <x v="3"/>
    <x v="5"/>
    <n v="1051"/>
    <n v="46.24"/>
    <n v="2.4"/>
    <x v="493"/>
    <n v="5"/>
    <n v="8"/>
    <n v="1440.8000000000002"/>
    <n v="9.4"/>
    <n v="1431.4"/>
  </r>
  <r>
    <s v="16C12B14"/>
    <x v="534"/>
    <x v="1"/>
    <s v="CUST7965"/>
    <s v="John Singh"/>
    <s v="Brazil"/>
    <x v="1"/>
    <x v="3"/>
    <x v="8"/>
    <n v="101"/>
    <n v="20.71"/>
    <n v="3.5"/>
    <x v="152"/>
    <n v="2"/>
    <n v="8"/>
    <n v="431.84"/>
    <n v="0.41"/>
    <n v="431.43"/>
  </r>
  <r>
    <s v="09224BFF"/>
    <x v="625"/>
    <x v="8"/>
    <s v="CUST5374"/>
    <s v="Anita Smith"/>
    <s v="India"/>
    <x v="4"/>
    <x v="2"/>
    <x v="2"/>
    <n v="2130"/>
    <n v="46.99"/>
    <n v="4.8"/>
    <x v="617"/>
    <n v="3"/>
    <n v="19"/>
    <n v="892.62000000000012"/>
    <n v="2.0499999999999998"/>
    <n v="890.57"/>
  </r>
  <r>
    <s v="1538BF20"/>
    <x v="626"/>
    <x v="4"/>
    <s v="CUST8458"/>
    <s v="Kumar Taylor"/>
    <s v="India"/>
    <x v="6"/>
    <x v="4"/>
    <x v="5"/>
    <n v="422"/>
    <n v="13.27"/>
    <n v="1.9"/>
    <x v="618"/>
    <n v="3"/>
    <n v="8"/>
    <n v="842.40000000000009"/>
    <n v="4.8499999999999996"/>
    <n v="837.55"/>
  </r>
  <r>
    <s v="A94F3C1A"/>
    <x v="408"/>
    <x v="9"/>
    <s v="CUST6756"/>
    <s v="Anita Garcia"/>
    <s v="India"/>
    <x v="3"/>
    <x v="2"/>
    <x v="13"/>
    <n v="1301"/>
    <n v="18.079999999999998"/>
    <n v="3.9"/>
    <x v="619"/>
    <n v="3"/>
    <n v="15"/>
    <n v="1493.1"/>
    <n v="9.49"/>
    <n v="1483.61"/>
  </r>
  <r>
    <s v="45E29448"/>
    <x v="627"/>
    <x v="9"/>
    <s v="CUST7711"/>
    <s v="John Brown"/>
    <s v="New Zealand"/>
    <x v="8"/>
    <x v="2"/>
    <x v="10"/>
    <n v="478"/>
    <n v="39.15"/>
    <n v="2.6"/>
    <x v="620"/>
    <n v="5"/>
    <n v="15"/>
    <n v="1413"/>
    <n v="1.37"/>
    <n v="1411.63"/>
  </r>
  <r>
    <s v="E673E9DB"/>
    <x v="628"/>
    <x v="1"/>
    <s v="CUST1923"/>
    <s v="David Brown"/>
    <s v="Qatar"/>
    <x v="8"/>
    <x v="1"/>
    <x v="5"/>
    <n v="3686"/>
    <n v="8.32"/>
    <n v="4.7"/>
    <x v="251"/>
    <n v="2"/>
    <n v="6"/>
    <n v="256.20000000000005"/>
    <n v="3.75"/>
    <n v="252.45"/>
  </r>
  <r>
    <s v="1404AF18"/>
    <x v="629"/>
    <x v="3"/>
    <s v="CUST7858"/>
    <s v="Priya Lee"/>
    <s v="Brazil"/>
    <x v="7"/>
    <x v="3"/>
    <x v="11"/>
    <n v="4665"/>
    <n v="33.01"/>
    <n v="2.4"/>
    <x v="621"/>
    <n v="4"/>
    <n v="15"/>
    <n v="1625.4"/>
    <n v="9.1"/>
    <n v="1616.3"/>
  </r>
  <r>
    <s v="2C95167B"/>
    <x v="102"/>
    <x v="5"/>
    <s v="CUST7532"/>
    <s v="John Singh"/>
    <s v="Singapore"/>
    <x v="1"/>
    <x v="3"/>
    <x v="9"/>
    <n v="728"/>
    <n v="49.46"/>
    <n v="3.8"/>
    <x v="622"/>
    <n v="3"/>
    <n v="20"/>
    <n v="474.6"/>
    <n v="1.98"/>
    <n v="472.62"/>
  </r>
  <r>
    <s v="43E0ECA6"/>
    <x v="630"/>
    <x v="5"/>
    <s v="CUST9178"/>
    <s v="Priya Khan"/>
    <s v="Qatar"/>
    <x v="7"/>
    <x v="1"/>
    <x v="13"/>
    <n v="610"/>
    <n v="32.14"/>
    <n v="3.7"/>
    <x v="623"/>
    <n v="4"/>
    <n v="18"/>
    <n v="1224"/>
    <n v="8.32"/>
    <n v="1215.68"/>
  </r>
  <r>
    <s v="C47F5E24"/>
    <x v="89"/>
    <x v="5"/>
    <s v="CUST3046"/>
    <s v="Sophia Lee"/>
    <s v="Indonesia"/>
    <x v="0"/>
    <x v="3"/>
    <x v="13"/>
    <n v="489"/>
    <n v="45.04"/>
    <n v="4.3"/>
    <x v="624"/>
    <n v="1"/>
    <n v="4"/>
    <n v="135.36000000000001"/>
    <n v="9.7100000000000009"/>
    <n v="125.65"/>
  </r>
  <r>
    <s v="18789EB4"/>
    <x v="631"/>
    <x v="7"/>
    <s v="CUST1483"/>
    <s v="Ahmed Das"/>
    <s v="Canada"/>
    <x v="0"/>
    <x v="3"/>
    <x v="9"/>
    <n v="334"/>
    <n v="35.68"/>
    <n v="3.8"/>
    <x v="625"/>
    <n v="2"/>
    <n v="7"/>
    <n v="84.14"/>
    <n v="7.7"/>
    <n v="76.44"/>
  </r>
  <r>
    <s v="698DC602"/>
    <x v="632"/>
    <x v="6"/>
    <s v="CUST5597"/>
    <s v="Ravi Singh"/>
    <s v="Indonesia"/>
    <x v="3"/>
    <x v="3"/>
    <x v="9"/>
    <n v="4876"/>
    <n v="12.68"/>
    <n v="3.7"/>
    <x v="626"/>
    <n v="4"/>
    <n v="15"/>
    <n v="1240.8"/>
    <n v="7.71"/>
    <n v="1233.0899999999999"/>
  </r>
  <r>
    <s v="BA00B0A1"/>
    <x v="438"/>
    <x v="8"/>
    <s v="CUST5710"/>
    <s v="Ahmed Lee"/>
    <s v="India"/>
    <x v="2"/>
    <x v="4"/>
    <x v="1"/>
    <n v="1809"/>
    <n v="42.86"/>
    <n v="1.6"/>
    <x v="84"/>
    <n v="2"/>
    <n v="17"/>
    <n v="291.72000000000003"/>
    <n v="6.42"/>
    <n v="285.3"/>
  </r>
  <r>
    <s v="921B4AF8"/>
    <x v="633"/>
    <x v="2"/>
    <s v="CUST5636"/>
    <s v="Sophia Singh"/>
    <s v="New Zealand"/>
    <x v="8"/>
    <x v="2"/>
    <x v="2"/>
    <n v="1991"/>
    <n v="29.69"/>
    <n v="2.6"/>
    <x v="627"/>
    <n v="2"/>
    <n v="4"/>
    <n v="118.48"/>
    <n v="9.51"/>
    <n v="108.97"/>
  </r>
  <r>
    <s v="270B05A3"/>
    <x v="634"/>
    <x v="2"/>
    <s v="CUST3721"/>
    <s v="John Singh"/>
    <s v="Indonesia"/>
    <x v="6"/>
    <x v="4"/>
    <x v="4"/>
    <n v="2571"/>
    <n v="41.63"/>
    <n v="3.9"/>
    <x v="628"/>
    <n v="1"/>
    <n v="20"/>
    <n v="353"/>
    <n v="9.3000000000000007"/>
    <n v="343.7"/>
  </r>
  <r>
    <s v="330A1106"/>
    <x v="635"/>
    <x v="9"/>
    <s v="CUST3151"/>
    <s v="Priya Smith"/>
    <s v="Singapore"/>
    <x v="2"/>
    <x v="4"/>
    <x v="14"/>
    <n v="337"/>
    <n v="33.020000000000003"/>
    <n v="2.2999999999999998"/>
    <x v="629"/>
    <n v="4"/>
    <n v="4"/>
    <n v="234.08"/>
    <n v="2.14"/>
    <n v="231.94"/>
  </r>
  <r>
    <s v="C6878BE6"/>
    <x v="636"/>
    <x v="9"/>
    <s v="CUST9818"/>
    <s v="Anita Garcia"/>
    <s v="Qatar"/>
    <x v="7"/>
    <x v="4"/>
    <x v="8"/>
    <n v="4195"/>
    <n v="40.08"/>
    <n v="1.8"/>
    <x v="630"/>
    <n v="4"/>
    <n v="16"/>
    <n v="520.32000000000005"/>
    <n v="3.85"/>
    <n v="516.47"/>
  </r>
  <r>
    <s v="742F20D1"/>
    <x v="637"/>
    <x v="7"/>
    <s v="CUST1842"/>
    <s v="Priya Patel"/>
    <s v="Indonesia"/>
    <x v="5"/>
    <x v="4"/>
    <x v="12"/>
    <n v="78"/>
    <n v="13.9"/>
    <n v="2.1"/>
    <x v="631"/>
    <n v="5"/>
    <n v="3"/>
    <n v="495.45000000000005"/>
    <n v="1.68"/>
    <n v="493.77"/>
  </r>
  <r>
    <s v="37810734"/>
    <x v="638"/>
    <x v="5"/>
    <s v="CUST7175"/>
    <s v="Sophia Garcia"/>
    <s v="New Zealand"/>
    <x v="3"/>
    <x v="3"/>
    <x v="7"/>
    <n v="185"/>
    <n v="18.75"/>
    <n v="4.5999999999999996"/>
    <x v="632"/>
    <n v="1"/>
    <n v="20"/>
    <n v="692.8"/>
    <n v="3.97"/>
    <n v="688.83"/>
  </r>
  <r>
    <s v="74B224FD"/>
    <x v="639"/>
    <x v="9"/>
    <s v="CUST1612"/>
    <s v="David Patel"/>
    <s v="New Zealand"/>
    <x v="5"/>
    <x v="1"/>
    <x v="11"/>
    <n v="4792"/>
    <n v="39.61"/>
    <n v="3.7"/>
    <x v="633"/>
    <n v="1"/>
    <n v="5"/>
    <n v="130.25"/>
    <n v="8.81"/>
    <n v="121.44"/>
  </r>
  <r>
    <s v="20FCC4DE"/>
    <x v="640"/>
    <x v="7"/>
    <s v="CUST7794"/>
    <s v="John Garcia"/>
    <s v="New Zealand"/>
    <x v="4"/>
    <x v="1"/>
    <x v="4"/>
    <n v="2542"/>
    <n v="46.43"/>
    <n v="3.8"/>
    <x v="279"/>
    <n v="4"/>
    <n v="14"/>
    <n v="1015.84"/>
    <n v="9.91"/>
    <n v="1005.93"/>
  </r>
  <r>
    <s v="B0763920"/>
    <x v="274"/>
    <x v="1"/>
    <s v="CUST6170"/>
    <s v="Ravi Khan"/>
    <s v="Indonesia"/>
    <x v="1"/>
    <x v="2"/>
    <x v="8"/>
    <n v="240"/>
    <n v="34.92"/>
    <n v="1.1000000000000001"/>
    <x v="634"/>
    <n v="2"/>
    <n v="17"/>
    <n v="1011.84"/>
    <n v="1.46"/>
    <n v="1010.38"/>
  </r>
  <r>
    <s v="6F0E3C94"/>
    <x v="133"/>
    <x v="5"/>
    <s v="CUST3513"/>
    <s v="Ahmed Das"/>
    <s v="South Africa"/>
    <x v="0"/>
    <x v="1"/>
    <x v="13"/>
    <n v="85"/>
    <n v="7.51"/>
    <n v="3.7"/>
    <x v="635"/>
    <n v="1"/>
    <n v="8"/>
    <n v="58.16"/>
    <n v="3.22"/>
    <n v="54.94"/>
  </r>
  <r>
    <s v="DA7B8667"/>
    <x v="641"/>
    <x v="9"/>
    <s v="CUST9496"/>
    <s v="Anita Singh"/>
    <s v="Brazil"/>
    <x v="5"/>
    <x v="2"/>
    <x v="4"/>
    <n v="621"/>
    <n v="9.0399999999999991"/>
    <n v="4.5999999999999996"/>
    <x v="103"/>
    <n v="4"/>
    <n v="20"/>
    <n v="2471.1999999999998"/>
    <n v="5.1100000000000003"/>
    <n v="2466.09"/>
  </r>
  <r>
    <s v="5A1CC0ED"/>
    <x v="642"/>
    <x v="9"/>
    <s v="CUST1082"/>
    <s v="Emily Singh"/>
    <s v="Singapore"/>
    <x v="5"/>
    <x v="3"/>
    <x v="5"/>
    <n v="1611"/>
    <n v="34.799999999999997"/>
    <n v="2.1"/>
    <x v="636"/>
    <n v="4"/>
    <n v="4"/>
    <n v="574.72"/>
    <n v="7"/>
    <n v="567.72"/>
  </r>
  <r>
    <s v="9EB31B6E"/>
    <x v="643"/>
    <x v="4"/>
    <s v="CUST8100"/>
    <s v="Sophia Taylor"/>
    <s v="Philippines"/>
    <x v="8"/>
    <x v="3"/>
    <x v="14"/>
    <n v="1220"/>
    <n v="16.27"/>
    <n v="2.2000000000000002"/>
    <x v="637"/>
    <n v="1"/>
    <n v="4"/>
    <n v="82.4"/>
    <n v="7.8"/>
    <n v="74.599999999999994"/>
  </r>
  <r>
    <s v="3817B182"/>
    <x v="84"/>
    <x v="9"/>
    <s v="CUST2420"/>
    <s v="Sophia Brown"/>
    <s v="Qatar"/>
    <x v="8"/>
    <x v="2"/>
    <x v="5"/>
    <n v="4457"/>
    <n v="38.99"/>
    <n v="1.3"/>
    <x v="638"/>
    <n v="1"/>
    <n v="20"/>
    <n v="268.39999999999998"/>
    <n v="4.26"/>
    <n v="264.14"/>
  </r>
  <r>
    <s v="48A3455F"/>
    <x v="644"/>
    <x v="3"/>
    <s v="CUST9036"/>
    <s v="David Taylor"/>
    <s v="Canada"/>
    <x v="0"/>
    <x v="0"/>
    <x v="4"/>
    <n v="4804"/>
    <n v="10.34"/>
    <n v="3.3"/>
    <x v="639"/>
    <n v="3"/>
    <n v="3"/>
    <n v="240.21000000000004"/>
    <n v="6.4"/>
    <n v="233.81"/>
  </r>
  <r>
    <s v="6C25FA66"/>
    <x v="645"/>
    <x v="0"/>
    <s v="CUST3859"/>
    <s v="Anita Khan"/>
    <s v="Philippines"/>
    <x v="5"/>
    <x v="3"/>
    <x v="10"/>
    <n v="1274"/>
    <n v="19.760000000000002"/>
    <n v="1.1000000000000001"/>
    <x v="640"/>
    <n v="4"/>
    <n v="6"/>
    <n v="373.92"/>
    <n v="0.56999999999999995"/>
    <n v="373.35"/>
  </r>
  <r>
    <s v="537C0C28"/>
    <x v="646"/>
    <x v="4"/>
    <s v="CUST5598"/>
    <s v="Ahmed Das"/>
    <s v="Philippines"/>
    <x v="6"/>
    <x v="4"/>
    <x v="9"/>
    <n v="4742"/>
    <n v="28.11"/>
    <n v="3.2"/>
    <x v="641"/>
    <n v="5"/>
    <n v="15"/>
    <n v="647.25000000000011"/>
    <n v="6.56"/>
    <n v="640.69000000000005"/>
  </r>
  <r>
    <s v="3013AA3D"/>
    <x v="647"/>
    <x v="9"/>
    <s v="CUST7887"/>
    <s v="Emily Patel"/>
    <s v="New Zealand"/>
    <x v="5"/>
    <x v="1"/>
    <x v="3"/>
    <n v="3910"/>
    <n v="24.16"/>
    <n v="4.5"/>
    <x v="642"/>
    <n v="5"/>
    <n v="18"/>
    <n v="2983.5"/>
    <n v="5.35"/>
    <n v="2978.15"/>
  </r>
  <r>
    <s v="B019A630"/>
    <x v="648"/>
    <x v="6"/>
    <s v="CUST8080"/>
    <s v="Kumar Taylor"/>
    <s v="Canada"/>
    <x v="6"/>
    <x v="2"/>
    <x v="9"/>
    <n v="2551"/>
    <n v="25.56"/>
    <n v="2.1"/>
    <x v="643"/>
    <n v="4"/>
    <n v="18"/>
    <n v="969.84"/>
    <n v="9.1999999999999993"/>
    <n v="960.64"/>
  </r>
  <r>
    <s v="BC76D800"/>
    <x v="156"/>
    <x v="1"/>
    <s v="CUST4524"/>
    <s v="Priya Lee"/>
    <s v="Australia"/>
    <x v="4"/>
    <x v="4"/>
    <x v="14"/>
    <n v="3463"/>
    <n v="6.66"/>
    <n v="4.0999999999999996"/>
    <x v="644"/>
    <n v="5"/>
    <n v="17"/>
    <n v="3043.8500000000004"/>
    <n v="3.79"/>
    <n v="3040.06"/>
  </r>
  <r>
    <s v="2153EE91"/>
    <x v="649"/>
    <x v="7"/>
    <s v="CUST3737"/>
    <s v="Anita Singh"/>
    <s v="Brazil"/>
    <x v="7"/>
    <x v="4"/>
    <x v="8"/>
    <n v="75"/>
    <n v="47.82"/>
    <n v="3"/>
    <x v="645"/>
    <n v="5"/>
    <n v="4"/>
    <n v="233.79999999999998"/>
    <n v="1.0900000000000001"/>
    <n v="232.71"/>
  </r>
  <r>
    <s v="8FA7842D"/>
    <x v="650"/>
    <x v="5"/>
    <s v="CUST9744"/>
    <s v="Ahmed Singh"/>
    <s v="New Zealand"/>
    <x v="0"/>
    <x v="1"/>
    <x v="6"/>
    <n v="3851"/>
    <n v="41.99"/>
    <n v="1.5"/>
    <x v="161"/>
    <n v="4"/>
    <n v="18"/>
    <n v="2844"/>
    <n v="2.87"/>
    <n v="2841.13"/>
  </r>
  <r>
    <s v="6FC80BE9"/>
    <x v="651"/>
    <x v="9"/>
    <s v="CUST4896"/>
    <s v="Kumar Patel"/>
    <s v="Qatar"/>
    <x v="5"/>
    <x v="4"/>
    <x v="0"/>
    <n v="4629"/>
    <n v="21.44"/>
    <n v="2.2000000000000002"/>
    <x v="646"/>
    <n v="5"/>
    <n v="4"/>
    <n v="721.4"/>
    <n v="7.72"/>
    <n v="713.68"/>
  </r>
  <r>
    <s v="17A472AB"/>
    <x v="188"/>
    <x v="1"/>
    <s v="CUST9651"/>
    <s v="John Sharma"/>
    <s v="South Africa"/>
    <x v="7"/>
    <x v="2"/>
    <x v="1"/>
    <n v="2715"/>
    <n v="22.09"/>
    <n v="3.3"/>
    <x v="647"/>
    <n v="3"/>
    <n v="5"/>
    <n v="591.9"/>
    <n v="1.3"/>
    <n v="590.6"/>
  </r>
  <r>
    <s v="B1739B9C"/>
    <x v="652"/>
    <x v="3"/>
    <s v="CUST6094"/>
    <s v="Ravi Smith"/>
    <s v="Brazil"/>
    <x v="7"/>
    <x v="2"/>
    <x v="8"/>
    <n v="4844"/>
    <n v="8.9600000000000009"/>
    <n v="3.2"/>
    <x v="648"/>
    <n v="1"/>
    <n v="2"/>
    <n v="38.619999999999997"/>
    <n v="4.22"/>
    <n v="34.4"/>
  </r>
  <r>
    <s v="1394AE83"/>
    <x v="653"/>
    <x v="2"/>
    <s v="CUST1579"/>
    <s v="Anita Patel"/>
    <s v="Philippines"/>
    <x v="7"/>
    <x v="4"/>
    <x v="14"/>
    <n v="1628"/>
    <n v="48.46"/>
    <n v="4.4000000000000004"/>
    <x v="649"/>
    <n v="3"/>
    <n v="10"/>
    <n v="622.20000000000005"/>
    <n v="6.16"/>
    <n v="616.04"/>
  </r>
  <r>
    <s v="2CA5C96D"/>
    <x v="654"/>
    <x v="2"/>
    <s v="CUST2961"/>
    <s v="Kumar Lee"/>
    <s v="Philippines"/>
    <x v="7"/>
    <x v="0"/>
    <x v="11"/>
    <n v="1092"/>
    <n v="7.4"/>
    <n v="2.4"/>
    <x v="650"/>
    <n v="5"/>
    <n v="19"/>
    <n v="1830.6499999999999"/>
    <n v="2.56"/>
    <n v="1828.09"/>
  </r>
  <r>
    <s v="AE9E2C93"/>
    <x v="652"/>
    <x v="9"/>
    <s v="CUST5770"/>
    <s v="David Smith"/>
    <s v="South Africa"/>
    <x v="4"/>
    <x v="3"/>
    <x v="9"/>
    <n v="2510"/>
    <n v="43.01"/>
    <n v="2.8"/>
    <x v="327"/>
    <n v="2"/>
    <n v="1"/>
    <n v="26.56"/>
    <n v="4.41"/>
    <n v="22.15"/>
  </r>
  <r>
    <s v="D9D104BB"/>
    <x v="655"/>
    <x v="1"/>
    <s v="CUST1076"/>
    <s v="John Khan"/>
    <s v="Singapore"/>
    <x v="5"/>
    <x v="3"/>
    <x v="14"/>
    <n v="4781"/>
    <n v="31.99"/>
    <n v="4.0999999999999996"/>
    <x v="651"/>
    <n v="1"/>
    <n v="7"/>
    <n v="202.58"/>
    <n v="3.19"/>
    <n v="199.39"/>
  </r>
  <r>
    <s v="84BA68D0"/>
    <x v="373"/>
    <x v="6"/>
    <s v="CUST5460"/>
    <s v="Priya Sharma"/>
    <s v="Indonesia"/>
    <x v="1"/>
    <x v="2"/>
    <x v="6"/>
    <n v="3895"/>
    <n v="13.49"/>
    <n v="4.7"/>
    <x v="652"/>
    <n v="2"/>
    <n v="6"/>
    <n v="187.8"/>
    <n v="6.71"/>
    <n v="181.09"/>
  </r>
  <r>
    <s v="8A95B839"/>
    <x v="656"/>
    <x v="6"/>
    <s v="CUST1801"/>
    <s v="David Patel"/>
    <s v="Qatar"/>
    <x v="1"/>
    <x v="2"/>
    <x v="3"/>
    <n v="593"/>
    <n v="46.9"/>
    <n v="4.5"/>
    <x v="653"/>
    <n v="2"/>
    <n v="10"/>
    <n v="257.2"/>
    <n v="3.97"/>
    <n v="253.23"/>
  </r>
  <r>
    <s v="A90149B4"/>
    <x v="657"/>
    <x v="7"/>
    <s v="CUST1930"/>
    <s v="Kumar Smith"/>
    <s v="Qatar"/>
    <x v="3"/>
    <x v="4"/>
    <x v="13"/>
    <n v="4279"/>
    <n v="18.329999999999998"/>
    <n v="5"/>
    <x v="654"/>
    <n v="4"/>
    <n v="6"/>
    <n v="773.76"/>
    <n v="3.81"/>
    <n v="769.95"/>
  </r>
  <r>
    <s v="3C3E805F"/>
    <x v="658"/>
    <x v="5"/>
    <s v="CUST2014"/>
    <s v="Sophia Patel"/>
    <s v="Australia"/>
    <x v="4"/>
    <x v="1"/>
    <x v="1"/>
    <n v="1893"/>
    <n v="48.36"/>
    <n v="1.5"/>
    <x v="655"/>
    <n v="3"/>
    <n v="4"/>
    <n v="98.28"/>
    <n v="3.79"/>
    <n v="94.49"/>
  </r>
  <r>
    <s v="15E3B124"/>
    <x v="113"/>
    <x v="7"/>
    <s v="CUST7509"/>
    <s v="Emily Singh"/>
    <s v="Singapore"/>
    <x v="4"/>
    <x v="2"/>
    <x v="11"/>
    <n v="3004"/>
    <n v="33.54"/>
    <n v="2.5"/>
    <x v="656"/>
    <n v="5"/>
    <n v="11"/>
    <n v="1274.3500000000001"/>
    <n v="0.57999999999999996"/>
    <n v="1273.77"/>
  </r>
  <r>
    <s v="DD273A8D"/>
    <x v="659"/>
    <x v="6"/>
    <s v="CUST9586"/>
    <s v="Sara Khan"/>
    <s v="New Zealand"/>
    <x v="5"/>
    <x v="0"/>
    <x v="8"/>
    <n v="648"/>
    <n v="27.7"/>
    <n v="4.9000000000000004"/>
    <x v="657"/>
    <n v="3"/>
    <n v="14"/>
    <n v="1029"/>
    <n v="6.33"/>
    <n v="1022.67"/>
  </r>
  <r>
    <s v="60CC1567"/>
    <x v="660"/>
    <x v="5"/>
    <s v="CUST4906"/>
    <s v="Priya Das"/>
    <s v="Singapore"/>
    <x v="4"/>
    <x v="1"/>
    <x v="12"/>
    <n v="2841"/>
    <n v="43.91"/>
    <n v="3.7"/>
    <x v="658"/>
    <n v="2"/>
    <n v="5"/>
    <n v="201.9"/>
    <n v="2.65"/>
    <n v="199.25"/>
  </r>
  <r>
    <s v="E84B6420"/>
    <x v="661"/>
    <x v="7"/>
    <s v="CUST9681"/>
    <s v="Priya Sharma"/>
    <s v="New Zealand"/>
    <x v="2"/>
    <x v="2"/>
    <x v="1"/>
    <n v="269"/>
    <n v="24.88"/>
    <n v="2.2999999999999998"/>
    <x v="17"/>
    <n v="5"/>
    <n v="17"/>
    <n v="1523.2"/>
    <n v="9.36"/>
    <n v="1513.84"/>
  </r>
  <r>
    <s v="F5F1F8F0"/>
    <x v="662"/>
    <x v="0"/>
    <s v="CUST9711"/>
    <s v="Sophia Brown"/>
    <s v="Canada"/>
    <x v="4"/>
    <x v="2"/>
    <x v="14"/>
    <n v="1204"/>
    <n v="17.93"/>
    <n v="1.9"/>
    <x v="659"/>
    <n v="2"/>
    <n v="2"/>
    <n v="121.08"/>
    <n v="1.75"/>
    <n v="119.33"/>
  </r>
  <r>
    <s v="0A380993"/>
    <x v="663"/>
    <x v="6"/>
    <s v="CUST9963"/>
    <s v="Anita Taylor"/>
    <s v="India"/>
    <x v="1"/>
    <x v="3"/>
    <x v="9"/>
    <n v="1561"/>
    <n v="20.03"/>
    <n v="1.1000000000000001"/>
    <x v="660"/>
    <n v="4"/>
    <n v="7"/>
    <n v="762.16"/>
    <n v="0.08"/>
    <n v="762.08"/>
  </r>
  <r>
    <s v="F195FF84"/>
    <x v="664"/>
    <x v="9"/>
    <s v="CUST5238"/>
    <s v="Priya Brown"/>
    <s v="Singapore"/>
    <x v="8"/>
    <x v="2"/>
    <x v="1"/>
    <n v="833"/>
    <n v="35.15"/>
    <n v="1.6"/>
    <x v="460"/>
    <n v="1"/>
    <n v="19"/>
    <n v="489.25"/>
    <n v="4.03"/>
    <n v="485.22"/>
  </r>
  <r>
    <s v="4FFA5324"/>
    <x v="665"/>
    <x v="6"/>
    <s v="CUST5803"/>
    <s v="Priya Brown"/>
    <s v="Canada"/>
    <x v="2"/>
    <x v="0"/>
    <x v="8"/>
    <n v="4637"/>
    <n v="14.73"/>
    <n v="2.2000000000000002"/>
    <x v="661"/>
    <n v="3"/>
    <n v="16"/>
    <n v="1381.44"/>
    <n v="8.44"/>
    <n v="1373"/>
  </r>
  <r>
    <s v="4F27084A"/>
    <x v="666"/>
    <x v="5"/>
    <s v="CUST8519"/>
    <s v="Emily Khan"/>
    <s v="India"/>
    <x v="2"/>
    <x v="4"/>
    <x v="11"/>
    <n v="648"/>
    <n v="42.85"/>
    <n v="4"/>
    <x v="662"/>
    <n v="4"/>
    <n v="8"/>
    <n v="359.68"/>
    <n v="9"/>
    <n v="350.68"/>
  </r>
  <r>
    <s v="EE8E3001"/>
    <x v="667"/>
    <x v="5"/>
    <s v="CUST6527"/>
    <s v="John Brown"/>
    <s v="Canada"/>
    <x v="0"/>
    <x v="4"/>
    <x v="4"/>
    <n v="1819"/>
    <n v="29.79"/>
    <n v="1.7"/>
    <x v="663"/>
    <n v="1"/>
    <n v="15"/>
    <n v="475.65000000000003"/>
    <n v="5.33"/>
    <n v="470.32"/>
  </r>
  <r>
    <s v="0D841DE7"/>
    <x v="668"/>
    <x v="1"/>
    <s v="CUST9645"/>
    <s v="Sophia Brown"/>
    <s v="Australia"/>
    <x v="0"/>
    <x v="1"/>
    <x v="13"/>
    <n v="3900"/>
    <n v="17.43"/>
    <n v="4.3"/>
    <x v="664"/>
    <n v="2"/>
    <n v="16"/>
    <n v="556.79999999999995"/>
    <n v="7.68"/>
    <n v="549.12"/>
  </r>
  <r>
    <s v="955E6DD6"/>
    <x v="237"/>
    <x v="5"/>
    <s v="CUST8087"/>
    <s v="Ravi Garcia"/>
    <s v="Canada"/>
    <x v="2"/>
    <x v="2"/>
    <x v="14"/>
    <n v="1288"/>
    <n v="33.340000000000003"/>
    <n v="3.2"/>
    <x v="234"/>
    <n v="5"/>
    <n v="19"/>
    <n v="1343.3"/>
    <n v="4.8099999999999996"/>
    <n v="1338.49"/>
  </r>
  <r>
    <s v="9E92536D"/>
    <x v="669"/>
    <x v="8"/>
    <s v="CUST2631"/>
    <s v="Kumar Patel"/>
    <s v="Singapore"/>
    <x v="8"/>
    <x v="2"/>
    <x v="4"/>
    <n v="363"/>
    <n v="17.36"/>
    <n v="2.2000000000000002"/>
    <x v="609"/>
    <n v="1"/>
    <n v="6"/>
    <n v="203.76"/>
    <n v="3.36"/>
    <n v="200.4"/>
  </r>
  <r>
    <s v="3881128E"/>
    <x v="670"/>
    <x v="0"/>
    <s v="CUST3609"/>
    <s v="Kumar Lee"/>
    <s v="Canada"/>
    <x v="3"/>
    <x v="2"/>
    <x v="5"/>
    <n v="1318"/>
    <n v="20.86"/>
    <n v="2.1"/>
    <x v="665"/>
    <n v="1"/>
    <n v="2"/>
    <n v="49.9"/>
    <n v="3.5"/>
    <n v="46.4"/>
  </r>
  <r>
    <s v="CB990F4D"/>
    <x v="671"/>
    <x v="7"/>
    <s v="CUST1457"/>
    <s v="John Khan"/>
    <s v="Singapore"/>
    <x v="7"/>
    <x v="0"/>
    <x v="0"/>
    <n v="2541"/>
    <n v="44.57"/>
    <n v="4"/>
    <x v="666"/>
    <n v="4"/>
    <n v="6"/>
    <n v="574.08000000000004"/>
    <n v="2.42"/>
    <n v="571.66"/>
  </r>
  <r>
    <s v="5C99243B"/>
    <x v="451"/>
    <x v="4"/>
    <s v="CUST6766"/>
    <s v="Kumar Taylor"/>
    <s v="India"/>
    <x v="4"/>
    <x v="2"/>
    <x v="3"/>
    <n v="766"/>
    <n v="29.36"/>
    <n v="2"/>
    <x v="667"/>
    <n v="5"/>
    <n v="14"/>
    <n v="1024.8"/>
    <n v="3.51"/>
    <n v="1021.29"/>
  </r>
  <r>
    <s v="1A647697"/>
    <x v="672"/>
    <x v="3"/>
    <s v="CUST1288"/>
    <s v="Anita Lee"/>
    <s v="Canada"/>
    <x v="8"/>
    <x v="3"/>
    <x v="13"/>
    <n v="412"/>
    <n v="23.9"/>
    <n v="3.7"/>
    <x v="668"/>
    <n v="5"/>
    <n v="1"/>
    <n v="166.85"/>
    <n v="9.16"/>
    <n v="157.69"/>
  </r>
  <r>
    <s v="1153DBB6"/>
    <x v="673"/>
    <x v="0"/>
    <s v="CUST9956"/>
    <s v="Ravi Smith"/>
    <s v="India"/>
    <x v="1"/>
    <x v="1"/>
    <x v="10"/>
    <n v="3360"/>
    <n v="18.309999999999999"/>
    <n v="4.0999999999999996"/>
    <x v="669"/>
    <n v="5"/>
    <n v="12"/>
    <n v="1219.1999999999998"/>
    <n v="5.0999999999999996"/>
    <n v="1214.0999999999999"/>
  </r>
  <r>
    <s v="D781037C"/>
    <x v="674"/>
    <x v="2"/>
    <s v="CUST4005"/>
    <s v="David Singh"/>
    <s v="Canada"/>
    <x v="1"/>
    <x v="0"/>
    <x v="6"/>
    <n v="248"/>
    <n v="15.45"/>
    <n v="1.4"/>
    <x v="120"/>
    <n v="3"/>
    <n v="11"/>
    <n v="1011.12"/>
    <n v="0.97"/>
    <n v="1010.15"/>
  </r>
  <r>
    <s v="33D6D6BD"/>
    <x v="675"/>
    <x v="5"/>
    <s v="CUST1350"/>
    <s v="Kumar Sharma"/>
    <s v="Philippines"/>
    <x v="6"/>
    <x v="1"/>
    <x v="14"/>
    <n v="3098"/>
    <n v="6.51"/>
    <n v="2.6"/>
    <x v="670"/>
    <n v="5"/>
    <n v="15"/>
    <n v="1638"/>
    <n v="3.04"/>
    <n v="1634.96"/>
  </r>
  <r>
    <s v="43BE83FD"/>
    <x v="369"/>
    <x v="4"/>
    <s v="CUST7036"/>
    <s v="Anita Patel"/>
    <s v="Australia"/>
    <x v="0"/>
    <x v="4"/>
    <x v="7"/>
    <n v="3534"/>
    <n v="10.08"/>
    <n v="4.4000000000000004"/>
    <x v="671"/>
    <n v="5"/>
    <n v="16"/>
    <n v="990.40000000000009"/>
    <n v="3.19"/>
    <n v="987.21"/>
  </r>
  <r>
    <s v="7D3E6160"/>
    <x v="676"/>
    <x v="7"/>
    <s v="CUST4439"/>
    <s v="Sara Patel"/>
    <s v="Qatar"/>
    <x v="2"/>
    <x v="1"/>
    <x v="3"/>
    <n v="1335"/>
    <n v="17.239999999999998"/>
    <n v="3.7"/>
    <x v="672"/>
    <n v="2"/>
    <n v="20"/>
    <n v="234.4"/>
    <n v="4.37"/>
    <n v="230.03"/>
  </r>
  <r>
    <s v="35AD8279"/>
    <x v="677"/>
    <x v="0"/>
    <s v="CUST3215"/>
    <s v="Ahmed Singh"/>
    <s v="South Africa"/>
    <x v="6"/>
    <x v="4"/>
    <x v="5"/>
    <n v="3689"/>
    <n v="8.18"/>
    <n v="2.4"/>
    <x v="673"/>
    <n v="2"/>
    <n v="13"/>
    <n v="433.94000000000005"/>
    <n v="6.69"/>
    <n v="427.25"/>
  </r>
  <r>
    <s v="0E89755F"/>
    <x v="678"/>
    <x v="8"/>
    <s v="CUST6069"/>
    <s v="Emily Das"/>
    <s v="Australia"/>
    <x v="2"/>
    <x v="0"/>
    <x v="7"/>
    <n v="694"/>
    <n v="27.42"/>
    <n v="5"/>
    <x v="674"/>
    <n v="5"/>
    <n v="11"/>
    <n v="1510.3000000000002"/>
    <n v="3.98"/>
    <n v="1506.32"/>
  </r>
  <r>
    <s v="8551159F"/>
    <x v="480"/>
    <x v="9"/>
    <s v="CUST9887"/>
    <s v="John Garcia"/>
    <s v="Indonesia"/>
    <x v="0"/>
    <x v="0"/>
    <x v="1"/>
    <n v="984"/>
    <n v="30.59"/>
    <n v="2.2999999999999998"/>
    <x v="288"/>
    <n v="2"/>
    <n v="10"/>
    <n v="577.79999999999995"/>
    <n v="5.45"/>
    <n v="572.35"/>
  </r>
  <r>
    <s v="C0CE94C2"/>
    <x v="679"/>
    <x v="6"/>
    <s v="CUST5330"/>
    <s v="Emily Das"/>
    <s v="New Zealand"/>
    <x v="2"/>
    <x v="3"/>
    <x v="4"/>
    <n v="3936"/>
    <n v="34.799999999999997"/>
    <n v="3.9"/>
    <x v="675"/>
    <n v="3"/>
    <n v="11"/>
    <n v="945.12"/>
    <n v="5.73"/>
    <n v="939.39"/>
  </r>
  <r>
    <s v="8A2010A5"/>
    <x v="680"/>
    <x v="3"/>
    <s v="CUST6129"/>
    <s v="Anita Lee"/>
    <s v="Philippines"/>
    <x v="2"/>
    <x v="2"/>
    <x v="3"/>
    <n v="4066"/>
    <n v="24.33"/>
    <n v="1.6"/>
    <x v="676"/>
    <n v="5"/>
    <n v="6"/>
    <n v="666.90000000000009"/>
    <n v="9.58"/>
    <n v="657.32"/>
  </r>
  <r>
    <s v="CE038D01"/>
    <x v="681"/>
    <x v="2"/>
    <s v="CUST1402"/>
    <s v="Kumar Brown"/>
    <s v="Qatar"/>
    <x v="2"/>
    <x v="1"/>
    <x v="13"/>
    <n v="2912"/>
    <n v="20.59"/>
    <n v="1.5"/>
    <x v="677"/>
    <n v="4"/>
    <n v="7"/>
    <n v="725.48"/>
    <n v="3.69"/>
    <n v="721.79"/>
  </r>
  <r>
    <s v="69B08FE7"/>
    <x v="682"/>
    <x v="5"/>
    <s v="CUST5351"/>
    <s v="David Sharma"/>
    <s v="Brazil"/>
    <x v="5"/>
    <x v="1"/>
    <x v="3"/>
    <n v="897"/>
    <n v="44.78"/>
    <n v="2.1"/>
    <x v="678"/>
    <n v="3"/>
    <n v="20"/>
    <n v="301.2"/>
    <n v="1.92"/>
    <n v="299.27999999999997"/>
  </r>
  <r>
    <s v="4999E610"/>
    <x v="31"/>
    <x v="1"/>
    <s v="CUST2099"/>
    <s v="Sophia Sharma"/>
    <s v="Australia"/>
    <x v="0"/>
    <x v="4"/>
    <x v="5"/>
    <n v="3228"/>
    <n v="24.26"/>
    <n v="1.2"/>
    <x v="679"/>
    <n v="1"/>
    <n v="14"/>
    <n v="361.34"/>
    <n v="9.31"/>
    <n v="352.03"/>
  </r>
  <r>
    <s v="A73EAC89"/>
    <x v="680"/>
    <x v="5"/>
    <s v="CUST6726"/>
    <s v="Sophia Garcia"/>
    <s v="Brazil"/>
    <x v="6"/>
    <x v="4"/>
    <x v="8"/>
    <n v="1682"/>
    <n v="17.93"/>
    <n v="2.5"/>
    <x v="680"/>
    <n v="4"/>
    <n v="19"/>
    <n v="2728.4"/>
    <n v="9.74"/>
    <n v="2718.66"/>
  </r>
  <r>
    <s v="8D553104"/>
    <x v="683"/>
    <x v="5"/>
    <s v="CUST4642"/>
    <s v="Sophia Sharma"/>
    <s v="Brazil"/>
    <x v="2"/>
    <x v="4"/>
    <x v="5"/>
    <n v="638"/>
    <n v="44.96"/>
    <n v="1.7"/>
    <x v="681"/>
    <n v="3"/>
    <n v="7"/>
    <n v="155.40000000000003"/>
    <n v="8.23"/>
    <n v="147.16999999999999"/>
  </r>
  <r>
    <s v="69658236"/>
    <x v="684"/>
    <x v="5"/>
    <s v="CUST9175"/>
    <s v="Sophia Smith"/>
    <s v="Brazil"/>
    <x v="6"/>
    <x v="4"/>
    <x v="13"/>
    <n v="2489"/>
    <n v="7.6"/>
    <n v="4.9000000000000004"/>
    <x v="682"/>
    <n v="3"/>
    <n v="12"/>
    <n v="1201.6800000000003"/>
    <n v="8.33"/>
    <n v="1193.3499999999999"/>
  </r>
  <r>
    <s v="EE7D3F9C"/>
    <x v="685"/>
    <x v="3"/>
    <s v="CUST9862"/>
    <s v="John Brown"/>
    <s v="Brazil"/>
    <x v="4"/>
    <x v="3"/>
    <x v="14"/>
    <n v="1635"/>
    <n v="32.75"/>
    <n v="2.4"/>
    <x v="683"/>
    <n v="2"/>
    <n v="2"/>
    <n v="155.08000000000001"/>
    <n v="5.58"/>
    <n v="149.5"/>
  </r>
  <r>
    <s v="A8524E63"/>
    <x v="582"/>
    <x v="3"/>
    <s v="CUST5221"/>
    <s v="Ahmed Taylor"/>
    <s v="Philippines"/>
    <x v="7"/>
    <x v="2"/>
    <x v="0"/>
    <n v="3200"/>
    <n v="7.36"/>
    <n v="3.1"/>
    <x v="684"/>
    <n v="5"/>
    <n v="15"/>
    <n v="2748"/>
    <n v="8.36"/>
    <n v="2739.64"/>
  </r>
  <r>
    <s v="81610DE8"/>
    <x v="686"/>
    <x v="1"/>
    <s v="CUST8686"/>
    <s v="Sara Brown"/>
    <s v="New Zealand"/>
    <x v="5"/>
    <x v="2"/>
    <x v="3"/>
    <n v="3648"/>
    <n v="31.17"/>
    <n v="3.3"/>
    <x v="685"/>
    <n v="3"/>
    <n v="8"/>
    <n v="543.36"/>
    <n v="4.5199999999999996"/>
    <n v="538.84"/>
  </r>
  <r>
    <s v="A53AB7A0"/>
    <x v="674"/>
    <x v="3"/>
    <s v="CUST8278"/>
    <s v="Anita Sharma"/>
    <s v="New Zealand"/>
    <x v="8"/>
    <x v="1"/>
    <x v="12"/>
    <n v="2654"/>
    <n v="46"/>
    <n v="1.7"/>
    <x v="686"/>
    <n v="1"/>
    <n v="1"/>
    <n v="6.45"/>
    <n v="0.05"/>
    <n v="6.4"/>
  </r>
  <r>
    <s v="1DBE2261"/>
    <x v="687"/>
    <x v="5"/>
    <s v="CUST3635"/>
    <s v="Priya Khan"/>
    <s v="Qatar"/>
    <x v="7"/>
    <x v="0"/>
    <x v="6"/>
    <n v="1346"/>
    <n v="20.62"/>
    <n v="4.0999999999999996"/>
    <x v="687"/>
    <n v="2"/>
    <n v="11"/>
    <n v="287.76"/>
    <n v="4"/>
    <n v="283.76"/>
  </r>
  <r>
    <s v="58F6DDAC"/>
    <x v="688"/>
    <x v="9"/>
    <s v="CUST3886"/>
    <s v="John Taylor"/>
    <s v="Canada"/>
    <x v="2"/>
    <x v="2"/>
    <x v="2"/>
    <n v="3687"/>
    <n v="40.24"/>
    <n v="4.2"/>
    <x v="688"/>
    <n v="3"/>
    <n v="20"/>
    <n v="2110.2000000000003"/>
    <n v="0.24"/>
    <n v="2109.96"/>
  </r>
  <r>
    <s v="7A1433AD"/>
    <x v="689"/>
    <x v="9"/>
    <s v="CUST6546"/>
    <s v="Emily Khan"/>
    <s v="South Africa"/>
    <x v="2"/>
    <x v="2"/>
    <x v="12"/>
    <n v="1273"/>
    <n v="17.39"/>
    <n v="1.5"/>
    <x v="689"/>
    <n v="3"/>
    <n v="20"/>
    <n v="2134.7999999999997"/>
    <n v="1.18"/>
    <n v="2133.62"/>
  </r>
  <r>
    <s v="7CFCF9F9"/>
    <x v="690"/>
    <x v="0"/>
    <s v="CUST2555"/>
    <s v="Priya Lee"/>
    <s v="Australia"/>
    <x v="1"/>
    <x v="1"/>
    <x v="4"/>
    <n v="3248"/>
    <n v="18.79"/>
    <n v="1.5"/>
    <x v="690"/>
    <n v="5"/>
    <n v="20"/>
    <n v="1681"/>
    <n v="1.82"/>
    <n v="1679.18"/>
  </r>
  <r>
    <s v="D2966CD8"/>
    <x v="691"/>
    <x v="9"/>
    <s v="CUST5009"/>
    <s v="Priya Khan"/>
    <s v="New Zealand"/>
    <x v="3"/>
    <x v="0"/>
    <x v="1"/>
    <n v="2625"/>
    <n v="46.41"/>
    <n v="4.9000000000000004"/>
    <x v="691"/>
    <n v="4"/>
    <n v="12"/>
    <n v="664.31999999999994"/>
    <n v="2.65"/>
    <n v="661.67"/>
  </r>
  <r>
    <s v="2AB749C3"/>
    <x v="692"/>
    <x v="8"/>
    <s v="CUST8605"/>
    <s v="Emily Khan"/>
    <s v="Philippines"/>
    <x v="0"/>
    <x v="2"/>
    <x v="4"/>
    <n v="4676"/>
    <n v="14.31"/>
    <n v="1.4"/>
    <x v="692"/>
    <n v="1"/>
    <n v="1"/>
    <n v="31.92"/>
    <n v="8.02"/>
    <n v="23.9"/>
  </r>
  <r>
    <s v="7318C20D"/>
    <x v="362"/>
    <x v="7"/>
    <s v="CUST3294"/>
    <s v="Anita Brown"/>
    <s v="New Zealand"/>
    <x v="7"/>
    <x v="3"/>
    <x v="0"/>
    <n v="1085"/>
    <n v="48.2"/>
    <n v="3.1"/>
    <x v="693"/>
    <n v="1"/>
    <n v="5"/>
    <n v="176.95"/>
    <n v="6.78"/>
    <n v="170.17"/>
  </r>
  <r>
    <s v="16B526DE"/>
    <x v="693"/>
    <x v="2"/>
    <s v="CUST6940"/>
    <s v="David Brown"/>
    <s v="Brazil"/>
    <x v="1"/>
    <x v="4"/>
    <x v="5"/>
    <n v="362"/>
    <n v="43.33"/>
    <n v="2.4"/>
    <x v="694"/>
    <n v="2"/>
    <n v="16"/>
    <n v="278.39999999999998"/>
    <n v="8.16"/>
    <n v="270.24"/>
  </r>
  <r>
    <s v="4B30A077"/>
    <x v="694"/>
    <x v="0"/>
    <s v="CUST3931"/>
    <s v="Ahmed Patel"/>
    <s v="New Zealand"/>
    <x v="1"/>
    <x v="4"/>
    <x v="0"/>
    <n v="4055"/>
    <n v="41.71"/>
    <n v="3"/>
    <x v="695"/>
    <n v="1"/>
    <n v="2"/>
    <n v="37.82"/>
    <n v="3.2"/>
    <n v="34.619999999999997"/>
  </r>
  <r>
    <s v="87F75B69"/>
    <x v="695"/>
    <x v="9"/>
    <s v="CUST3944"/>
    <s v="Sophia Patel"/>
    <s v="Canada"/>
    <x v="1"/>
    <x v="1"/>
    <x v="9"/>
    <n v="3711"/>
    <n v="25.23"/>
    <n v="4.5999999999999996"/>
    <x v="696"/>
    <n v="5"/>
    <n v="5"/>
    <n v="491.75000000000006"/>
    <n v="6.94"/>
    <n v="484.81"/>
  </r>
  <r>
    <s v="4F7C1CCA"/>
    <x v="189"/>
    <x v="4"/>
    <s v="CUST1634"/>
    <s v="Sara Smith"/>
    <s v="India"/>
    <x v="5"/>
    <x v="3"/>
    <x v="0"/>
    <n v="3294"/>
    <n v="7.22"/>
    <n v="3.2"/>
    <x v="697"/>
    <n v="3"/>
    <n v="6"/>
    <n v="244.98"/>
    <n v="3.31"/>
    <n v="241.67"/>
  </r>
  <r>
    <s v="6E2E2D6C"/>
    <x v="463"/>
    <x v="9"/>
    <s v="CUST9512"/>
    <s v="Sara Garcia"/>
    <s v="New Zealand"/>
    <x v="0"/>
    <x v="2"/>
    <x v="11"/>
    <n v="3042"/>
    <n v="16.170000000000002"/>
    <n v="3.9"/>
    <x v="698"/>
    <n v="4"/>
    <n v="8"/>
    <n v="847.04"/>
    <n v="6.36"/>
    <n v="840.68"/>
  </r>
  <r>
    <s v="03F436C9"/>
    <x v="103"/>
    <x v="6"/>
    <s v="CUST3662"/>
    <s v="Sara Garcia"/>
    <s v="India"/>
    <x v="6"/>
    <x v="4"/>
    <x v="2"/>
    <n v="3875"/>
    <n v="48.71"/>
    <n v="2.4"/>
    <x v="699"/>
    <n v="2"/>
    <n v="11"/>
    <n v="338.36"/>
    <n v="3.91"/>
    <n v="334.45"/>
  </r>
  <r>
    <s v="AFEF93B1"/>
    <x v="696"/>
    <x v="0"/>
    <s v="CUST4067"/>
    <s v="Sophia Lee"/>
    <s v="Indonesia"/>
    <x v="4"/>
    <x v="1"/>
    <x v="9"/>
    <n v="1943"/>
    <n v="22.32"/>
    <n v="2"/>
    <x v="497"/>
    <n v="4"/>
    <n v="6"/>
    <n v="772.56"/>
    <n v="5.0199999999999996"/>
    <n v="767.54"/>
  </r>
  <r>
    <s v="37D39265"/>
    <x v="697"/>
    <x v="1"/>
    <s v="CUST8046"/>
    <s v="Emily Taylor"/>
    <s v="Philippines"/>
    <x v="8"/>
    <x v="0"/>
    <x v="3"/>
    <n v="3303"/>
    <n v="25.7"/>
    <n v="1.9"/>
    <x v="700"/>
    <n v="5"/>
    <n v="3"/>
    <n v="463.65000000000003"/>
    <n v="7.99"/>
    <n v="455.66"/>
  </r>
  <r>
    <s v="38DEC5DD"/>
    <x v="698"/>
    <x v="3"/>
    <s v="CUST1189"/>
    <s v="Emily Lee"/>
    <s v="Singapore"/>
    <x v="8"/>
    <x v="4"/>
    <x v="4"/>
    <n v="899"/>
    <n v="44.84"/>
    <n v="1"/>
    <x v="701"/>
    <n v="1"/>
    <n v="5"/>
    <n v="80.150000000000006"/>
    <n v="4.7699999999999996"/>
    <n v="75.38"/>
  </r>
  <r>
    <s v="62063E47"/>
    <x v="699"/>
    <x v="2"/>
    <s v="CUST4569"/>
    <s v="David Taylor"/>
    <s v="Indonesia"/>
    <x v="4"/>
    <x v="1"/>
    <x v="14"/>
    <n v="3406"/>
    <n v="42.86"/>
    <n v="3.4"/>
    <x v="702"/>
    <n v="3"/>
    <n v="11"/>
    <n v="587.06999999999994"/>
    <n v="2.97"/>
    <n v="584.1"/>
  </r>
  <r>
    <s v="2202B992"/>
    <x v="700"/>
    <x v="8"/>
    <s v="CUST6923"/>
    <s v="Sophia Patel"/>
    <s v="Qatar"/>
    <x v="6"/>
    <x v="1"/>
    <x v="5"/>
    <n v="2444"/>
    <n v="12.65"/>
    <n v="1.7"/>
    <x v="703"/>
    <n v="3"/>
    <n v="4"/>
    <n v="260.52"/>
    <n v="7.04"/>
    <n v="253.48"/>
  </r>
  <r>
    <s v="8834903F"/>
    <x v="701"/>
    <x v="8"/>
    <s v="CUST5113"/>
    <s v="John Das"/>
    <s v="Philippines"/>
    <x v="7"/>
    <x v="1"/>
    <x v="4"/>
    <n v="4464"/>
    <n v="47.45"/>
    <n v="4.3"/>
    <x v="704"/>
    <n v="1"/>
    <n v="1"/>
    <n v="38.33"/>
    <n v="0.22"/>
    <n v="38.11"/>
  </r>
  <r>
    <s v="0630EC5D"/>
    <x v="217"/>
    <x v="5"/>
    <s v="CUST6747"/>
    <s v="Emily Das"/>
    <s v="Qatar"/>
    <x v="0"/>
    <x v="1"/>
    <x v="0"/>
    <n v="1789"/>
    <n v="17.45"/>
    <n v="2.2999999999999998"/>
    <x v="453"/>
    <n v="4"/>
    <n v="5"/>
    <n v="150"/>
    <n v="0.14000000000000001"/>
    <n v="149.86000000000001"/>
  </r>
  <r>
    <s v="1460CD6F"/>
    <x v="702"/>
    <x v="8"/>
    <s v="CUST1769"/>
    <s v="Sara Brown"/>
    <s v="Canada"/>
    <x v="1"/>
    <x v="3"/>
    <x v="12"/>
    <n v="2612"/>
    <n v="33.01"/>
    <n v="3.6"/>
    <x v="705"/>
    <n v="1"/>
    <n v="2"/>
    <n v="13.18"/>
    <n v="4.59"/>
    <n v="8.59"/>
  </r>
  <r>
    <s v="7156F024"/>
    <x v="703"/>
    <x v="5"/>
    <s v="CUST6206"/>
    <s v="David Das"/>
    <s v="Canada"/>
    <x v="6"/>
    <x v="2"/>
    <x v="4"/>
    <n v="4527"/>
    <n v="22.97"/>
    <n v="1.9"/>
    <x v="362"/>
    <n v="2"/>
    <n v="18"/>
    <n v="672.48"/>
    <n v="8.08"/>
    <n v="664.4"/>
  </r>
  <r>
    <s v="0801A213"/>
    <x v="301"/>
    <x v="1"/>
    <s v="CUST2927"/>
    <s v="Anita Lee"/>
    <s v="Australia"/>
    <x v="7"/>
    <x v="4"/>
    <x v="9"/>
    <n v="712"/>
    <n v="27.12"/>
    <n v="4.0999999999999996"/>
    <x v="706"/>
    <n v="5"/>
    <n v="11"/>
    <n v="1849.65"/>
    <n v="8.18"/>
    <n v="1841.47"/>
  </r>
  <r>
    <s v="D5A1C81F"/>
    <x v="704"/>
    <x v="7"/>
    <s v="CUST8616"/>
    <s v="Kumar Singh"/>
    <s v="Singapore"/>
    <x v="4"/>
    <x v="1"/>
    <x v="0"/>
    <n v="1613"/>
    <n v="34.64"/>
    <n v="2"/>
    <x v="707"/>
    <n v="4"/>
    <n v="15"/>
    <n v="1734"/>
    <n v="6.91"/>
    <n v="1727.09"/>
  </r>
  <r>
    <s v="C55AA318"/>
    <x v="705"/>
    <x v="9"/>
    <s v="CUST3917"/>
    <s v="Priya Garcia"/>
    <s v="Canada"/>
    <x v="6"/>
    <x v="2"/>
    <x v="0"/>
    <n v="1590"/>
    <n v="10.96"/>
    <n v="3.7"/>
    <x v="524"/>
    <n v="4"/>
    <n v="2"/>
    <n v="176.88"/>
    <n v="6.66"/>
    <n v="170.22"/>
  </r>
  <r>
    <s v="DA56662C"/>
    <x v="706"/>
    <x v="1"/>
    <s v="CUST7913"/>
    <s v="John Garcia"/>
    <s v="Indonesia"/>
    <x v="2"/>
    <x v="2"/>
    <x v="11"/>
    <n v="4590"/>
    <n v="11.38"/>
    <n v="2.5"/>
    <x v="708"/>
    <n v="4"/>
    <n v="12"/>
    <n v="1832.16"/>
    <n v="1.75"/>
    <n v="1830.41"/>
  </r>
  <r>
    <s v="388280B1"/>
    <x v="707"/>
    <x v="2"/>
    <s v="CUST5196"/>
    <s v="Kumar Brown"/>
    <s v="India"/>
    <x v="6"/>
    <x v="4"/>
    <x v="12"/>
    <n v="1524"/>
    <n v="7.59"/>
    <n v="3.4"/>
    <x v="709"/>
    <n v="4"/>
    <n v="17"/>
    <n v="2188.2399999999998"/>
    <n v="3.27"/>
    <n v="2184.9699999999998"/>
  </r>
  <r>
    <s v="DC99A181"/>
    <x v="708"/>
    <x v="7"/>
    <s v="CUST7471"/>
    <s v="John Das"/>
    <s v="Qatar"/>
    <x v="6"/>
    <x v="4"/>
    <x v="10"/>
    <n v="3815"/>
    <n v="44.41"/>
    <n v="2.5"/>
    <x v="710"/>
    <n v="3"/>
    <n v="11"/>
    <n v="603.90000000000009"/>
    <n v="3.84"/>
    <n v="600.05999999999995"/>
  </r>
  <r>
    <s v="FE3B5B36"/>
    <x v="709"/>
    <x v="0"/>
    <s v="CUST8438"/>
    <s v="David Sharma"/>
    <s v="India"/>
    <x v="4"/>
    <x v="0"/>
    <x v="14"/>
    <n v="655"/>
    <n v="22.54"/>
    <n v="2.1"/>
    <x v="711"/>
    <n v="4"/>
    <n v="12"/>
    <n v="1741.92"/>
    <n v="7.47"/>
    <n v="1734.45"/>
  </r>
  <r>
    <s v="A450966A"/>
    <x v="710"/>
    <x v="6"/>
    <s v="CUST2953"/>
    <s v="David Smith"/>
    <s v="Canada"/>
    <x v="5"/>
    <x v="3"/>
    <x v="0"/>
    <n v="1761"/>
    <n v="20.73"/>
    <n v="2.2000000000000002"/>
    <x v="712"/>
    <n v="5"/>
    <n v="11"/>
    <n v="2091.65"/>
    <n v="0.21"/>
    <n v="2091.44"/>
  </r>
  <r>
    <s v="E3CE493D"/>
    <x v="711"/>
    <x v="3"/>
    <s v="CUST4636"/>
    <s v="David Taylor"/>
    <s v="New Zealand"/>
    <x v="1"/>
    <x v="2"/>
    <x v="5"/>
    <n v="4138"/>
    <n v="22.43"/>
    <n v="1.3"/>
    <x v="713"/>
    <n v="3"/>
    <n v="5"/>
    <n v="202.2"/>
    <n v="4.2699999999999996"/>
    <n v="197.93"/>
  </r>
  <r>
    <s v="B1BC5848"/>
    <x v="389"/>
    <x v="7"/>
    <s v="CUST6573"/>
    <s v="Anita Taylor"/>
    <s v="Singapore"/>
    <x v="6"/>
    <x v="1"/>
    <x v="10"/>
    <n v="4584"/>
    <n v="27.58"/>
    <n v="4.8"/>
    <x v="714"/>
    <n v="3"/>
    <n v="15"/>
    <n v="985.49999999999977"/>
    <n v="5.36"/>
    <n v="980.14"/>
  </r>
  <r>
    <s v="1CBFAADA"/>
    <x v="712"/>
    <x v="2"/>
    <s v="CUST7626"/>
    <s v="Sophia Sharma"/>
    <s v="Singapore"/>
    <x v="7"/>
    <x v="1"/>
    <x v="12"/>
    <n v="1267"/>
    <n v="41.09"/>
    <n v="3.3"/>
    <x v="715"/>
    <n v="2"/>
    <n v="14"/>
    <n v="646.24"/>
    <n v="8.23"/>
    <n v="638.01"/>
  </r>
  <r>
    <s v="F9C0FB1C"/>
    <x v="358"/>
    <x v="0"/>
    <s v="CUST5848"/>
    <s v="Ravi Brown"/>
    <s v="New Zealand"/>
    <x v="7"/>
    <x v="0"/>
    <x v="4"/>
    <n v="1666"/>
    <n v="18.41"/>
    <n v="4.5999999999999996"/>
    <x v="716"/>
    <n v="2"/>
    <n v="7"/>
    <n v="437.08"/>
    <n v="4.09"/>
    <n v="432.99"/>
  </r>
  <r>
    <s v="63EB90C3"/>
    <x v="713"/>
    <x v="8"/>
    <s v="CUST4490"/>
    <s v="Sophia Singh"/>
    <s v="New Zealand"/>
    <x v="2"/>
    <x v="1"/>
    <x v="2"/>
    <n v="2762"/>
    <n v="11.3"/>
    <n v="1.6"/>
    <x v="717"/>
    <n v="1"/>
    <n v="1"/>
    <n v="31.23"/>
    <n v="6.68"/>
    <n v="24.55"/>
  </r>
  <r>
    <s v="9ABDEE24"/>
    <x v="714"/>
    <x v="4"/>
    <s v="CUST9860"/>
    <s v="David Sharma"/>
    <s v="Brazil"/>
    <x v="5"/>
    <x v="3"/>
    <x v="14"/>
    <n v="1819"/>
    <n v="25.06"/>
    <n v="1.9"/>
    <x v="718"/>
    <n v="1"/>
    <n v="12"/>
    <n v="162.35999999999999"/>
    <n v="6.01"/>
    <n v="156.35"/>
  </r>
  <r>
    <s v="FE9DDF31"/>
    <x v="112"/>
    <x v="0"/>
    <s v="CUST6029"/>
    <s v="John Khan"/>
    <s v="Australia"/>
    <x v="5"/>
    <x v="0"/>
    <x v="8"/>
    <n v="3107"/>
    <n v="43.56"/>
    <n v="2.9"/>
    <x v="719"/>
    <n v="4"/>
    <n v="19"/>
    <n v="752.4"/>
    <n v="4.17"/>
    <n v="748.23"/>
  </r>
  <r>
    <s v="9028EEDC"/>
    <x v="715"/>
    <x v="7"/>
    <s v="CUST3741"/>
    <s v="Anita Lee"/>
    <s v="Singapore"/>
    <x v="6"/>
    <x v="1"/>
    <x v="13"/>
    <n v="3415"/>
    <n v="35.31"/>
    <n v="3.2"/>
    <x v="91"/>
    <n v="3"/>
    <n v="10"/>
    <n v="734.4"/>
    <n v="2.2799999999999998"/>
    <n v="732.12"/>
  </r>
  <r>
    <s v="E5FCEA3A"/>
    <x v="716"/>
    <x v="1"/>
    <s v="CUST6284"/>
    <s v="Sara Smith"/>
    <s v="Canada"/>
    <x v="1"/>
    <x v="4"/>
    <x v="11"/>
    <n v="1387"/>
    <n v="37.49"/>
    <n v="3.4"/>
    <x v="720"/>
    <n v="4"/>
    <n v="2"/>
    <n v="225.84"/>
    <n v="1.02"/>
    <n v="224.82"/>
  </r>
  <r>
    <s v="86667D83"/>
    <x v="88"/>
    <x v="2"/>
    <s v="CUST4254"/>
    <s v="Kumar Smith"/>
    <s v="India"/>
    <x v="6"/>
    <x v="2"/>
    <x v="14"/>
    <n v="979"/>
    <n v="13.78"/>
    <n v="3.1"/>
    <x v="392"/>
    <n v="5"/>
    <n v="1"/>
    <n v="37.299999999999997"/>
    <n v="5.91"/>
    <n v="31.39"/>
  </r>
  <r>
    <s v="022861EE"/>
    <x v="717"/>
    <x v="0"/>
    <s v="CUST7600"/>
    <s v="Emily Khan"/>
    <s v="Singapore"/>
    <x v="2"/>
    <x v="0"/>
    <x v="1"/>
    <n v="362"/>
    <n v="48.2"/>
    <n v="2"/>
    <x v="721"/>
    <n v="4"/>
    <n v="4"/>
    <n v="326.88"/>
    <n v="1.59"/>
    <n v="325.29000000000002"/>
  </r>
  <r>
    <s v="4A3EF56D"/>
    <x v="718"/>
    <x v="1"/>
    <s v="CUST3614"/>
    <s v="Sara Singh"/>
    <s v="New Zealand"/>
    <x v="8"/>
    <x v="3"/>
    <x v="5"/>
    <n v="4996"/>
    <n v="13.19"/>
    <n v="2.5"/>
    <x v="552"/>
    <n v="4"/>
    <n v="16"/>
    <n v="2430.08"/>
    <n v="7.55"/>
    <n v="2422.5300000000002"/>
  </r>
  <r>
    <s v="552295B7"/>
    <x v="719"/>
    <x v="6"/>
    <s v="CUST5811"/>
    <s v="Sophia Taylor"/>
    <s v="Australia"/>
    <x v="6"/>
    <x v="1"/>
    <x v="14"/>
    <n v="530"/>
    <n v="44.56"/>
    <n v="2.5"/>
    <x v="722"/>
    <n v="1"/>
    <n v="20"/>
    <n v="748.8"/>
    <n v="6.31"/>
    <n v="742.49"/>
  </r>
  <r>
    <s v="1B806089"/>
    <x v="720"/>
    <x v="3"/>
    <s v="CUST3907"/>
    <s v="Sara Taylor"/>
    <s v="Qatar"/>
    <x v="7"/>
    <x v="3"/>
    <x v="10"/>
    <n v="4278"/>
    <n v="29.47"/>
    <n v="1.8"/>
    <x v="723"/>
    <n v="5"/>
    <n v="9"/>
    <n v="1181.25"/>
    <n v="6.8"/>
    <n v="1174.45"/>
  </r>
  <r>
    <s v="38326A93"/>
    <x v="293"/>
    <x v="0"/>
    <s v="CUST6182"/>
    <s v="Priya Garcia"/>
    <s v="Qatar"/>
    <x v="4"/>
    <x v="0"/>
    <x v="6"/>
    <n v="255"/>
    <n v="27.72"/>
    <n v="2.9"/>
    <x v="493"/>
    <n v="1"/>
    <n v="5"/>
    <n v="180.10000000000002"/>
    <n v="8.1"/>
    <n v="172"/>
  </r>
  <r>
    <s v="B960809F"/>
    <x v="721"/>
    <x v="0"/>
    <s v="CUST9840"/>
    <s v="Sara Patel"/>
    <s v="Australia"/>
    <x v="5"/>
    <x v="4"/>
    <x v="1"/>
    <n v="3690"/>
    <n v="31.24"/>
    <n v="4.3"/>
    <x v="724"/>
    <n v="3"/>
    <n v="7"/>
    <n v="665.07"/>
    <n v="4.92"/>
    <n v="660.15"/>
  </r>
  <r>
    <s v="D6A426A2"/>
    <x v="660"/>
    <x v="5"/>
    <s v="CUST3244"/>
    <s v="Priya Patel"/>
    <s v="Australia"/>
    <x v="8"/>
    <x v="1"/>
    <x v="1"/>
    <n v="973"/>
    <n v="22.33"/>
    <n v="1.2"/>
    <x v="725"/>
    <n v="5"/>
    <n v="3"/>
    <n v="321.45000000000005"/>
    <n v="5.3"/>
    <n v="316.14999999999998"/>
  </r>
  <r>
    <s v="B3FFC75C"/>
    <x v="722"/>
    <x v="7"/>
    <s v="CUST5157"/>
    <s v="Sara Garcia"/>
    <s v="Brazil"/>
    <x v="5"/>
    <x v="0"/>
    <x v="9"/>
    <n v="1694"/>
    <n v="6.88"/>
    <n v="2.2999999999999998"/>
    <x v="726"/>
    <n v="3"/>
    <n v="16"/>
    <n v="1689.6000000000001"/>
    <n v="9.8800000000000008"/>
    <n v="1679.72"/>
  </r>
  <r>
    <s v="4651BFDE"/>
    <x v="583"/>
    <x v="9"/>
    <s v="CUST4613"/>
    <s v="Ahmed Singh"/>
    <s v="Philippines"/>
    <x v="2"/>
    <x v="3"/>
    <x v="13"/>
    <n v="4653"/>
    <n v="8.5"/>
    <n v="2.2000000000000002"/>
    <x v="302"/>
    <n v="1"/>
    <n v="12"/>
    <n v="471.96"/>
    <n v="6.06"/>
    <n v="465.9"/>
  </r>
  <r>
    <s v="9132C8BB"/>
    <x v="723"/>
    <x v="1"/>
    <s v="CUST1023"/>
    <s v="Kumar Patel"/>
    <s v="India"/>
    <x v="1"/>
    <x v="1"/>
    <x v="6"/>
    <n v="4688"/>
    <n v="7.09"/>
    <n v="1.1000000000000001"/>
    <x v="727"/>
    <n v="5"/>
    <n v="6"/>
    <n v="531.59999999999991"/>
    <n v="3.82"/>
    <n v="527.78"/>
  </r>
  <r>
    <s v="A1A13744"/>
    <x v="724"/>
    <x v="8"/>
    <s v="CUST3608"/>
    <s v="Ravi Khan"/>
    <s v="Singapore"/>
    <x v="2"/>
    <x v="1"/>
    <x v="5"/>
    <n v="2352"/>
    <n v="6.13"/>
    <n v="1.6"/>
    <x v="728"/>
    <n v="1"/>
    <n v="4"/>
    <n v="128.08000000000001"/>
    <n v="7.56"/>
    <n v="120.52"/>
  </r>
  <r>
    <s v="672093E7"/>
    <x v="725"/>
    <x v="9"/>
    <s v="CUST1352"/>
    <s v="Sara Das"/>
    <s v="New Zealand"/>
    <x v="0"/>
    <x v="3"/>
    <x v="8"/>
    <n v="4844"/>
    <n v="9.9700000000000006"/>
    <n v="2.6"/>
    <x v="729"/>
    <n v="5"/>
    <n v="13"/>
    <n v="2000.05"/>
    <n v="6.29"/>
    <n v="1993.76"/>
  </r>
  <r>
    <s v="9A7A956F"/>
    <x v="726"/>
    <x v="5"/>
    <s v="CUST6294"/>
    <s v="Emily Smith"/>
    <s v="Indonesia"/>
    <x v="0"/>
    <x v="1"/>
    <x v="6"/>
    <n v="395"/>
    <n v="43.29"/>
    <n v="4.8"/>
    <x v="730"/>
    <n v="5"/>
    <n v="2"/>
    <n v="338.7"/>
    <n v="6.79"/>
    <n v="331.91"/>
  </r>
  <r>
    <s v="C4230257"/>
    <x v="245"/>
    <x v="4"/>
    <s v="CUST8896"/>
    <s v="Anita Sharma"/>
    <s v="Canada"/>
    <x v="1"/>
    <x v="2"/>
    <x v="4"/>
    <n v="2863"/>
    <n v="22.28"/>
    <n v="3"/>
    <x v="731"/>
    <n v="3"/>
    <n v="10"/>
    <n v="624.29999999999995"/>
    <n v="6.45"/>
    <n v="617.85"/>
  </r>
  <r>
    <s v="BD85A41A"/>
    <x v="727"/>
    <x v="1"/>
    <s v="CUST9097"/>
    <s v="Ahmed Khan"/>
    <s v="Canada"/>
    <x v="2"/>
    <x v="2"/>
    <x v="14"/>
    <n v="466"/>
    <n v="36.6"/>
    <n v="3.6"/>
    <x v="732"/>
    <n v="1"/>
    <n v="19"/>
    <n v="403.75"/>
    <n v="7.33"/>
    <n v="396.42"/>
  </r>
  <r>
    <s v="15FE6CB3"/>
    <x v="728"/>
    <x v="5"/>
    <s v="CUST2026"/>
    <s v="Kumar Das"/>
    <s v="New Zealand"/>
    <x v="1"/>
    <x v="1"/>
    <x v="4"/>
    <n v="4124"/>
    <n v="13.14"/>
    <n v="2.8"/>
    <x v="733"/>
    <n v="1"/>
    <n v="19"/>
    <n v="573.99"/>
    <n v="2.6"/>
    <n v="571.39"/>
  </r>
  <r>
    <s v="2194B007"/>
    <x v="729"/>
    <x v="8"/>
    <s v="CUST5198"/>
    <s v="Ravi Das"/>
    <s v="Canada"/>
    <x v="1"/>
    <x v="4"/>
    <x v="10"/>
    <n v="3463"/>
    <n v="49"/>
    <n v="2.4"/>
    <x v="734"/>
    <n v="2"/>
    <n v="19"/>
    <n v="1165.8399999999999"/>
    <n v="4.42"/>
    <n v="1161.42"/>
  </r>
  <r>
    <s v="F61D7B81"/>
    <x v="730"/>
    <x v="0"/>
    <s v="CUST3014"/>
    <s v="Priya Singh"/>
    <s v="India"/>
    <x v="5"/>
    <x v="2"/>
    <x v="10"/>
    <n v="938"/>
    <n v="37.92"/>
    <n v="3.1"/>
    <x v="735"/>
    <n v="3"/>
    <n v="7"/>
    <n v="766.71"/>
    <n v="6.74"/>
    <n v="759.97"/>
  </r>
  <r>
    <s v="36F589C7"/>
    <x v="731"/>
    <x v="3"/>
    <s v="CUST7698"/>
    <s v="Priya Singh"/>
    <s v="South Africa"/>
    <x v="8"/>
    <x v="3"/>
    <x v="1"/>
    <n v="3972"/>
    <n v="20.170000000000002"/>
    <n v="2.4"/>
    <x v="736"/>
    <n v="5"/>
    <n v="17"/>
    <n v="1959.25"/>
    <n v="0.57999999999999996"/>
    <n v="1958.67"/>
  </r>
  <r>
    <s v="E489B792"/>
    <x v="377"/>
    <x v="0"/>
    <s v="CUST3014"/>
    <s v="David Singh"/>
    <s v="Canada"/>
    <x v="0"/>
    <x v="1"/>
    <x v="0"/>
    <n v="2198"/>
    <n v="15.19"/>
    <n v="5"/>
    <x v="737"/>
    <n v="4"/>
    <n v="18"/>
    <n v="1432.08"/>
    <n v="9.32"/>
    <n v="1422.76"/>
  </r>
  <r>
    <s v="4324A8C9"/>
    <x v="732"/>
    <x v="8"/>
    <s v="CUST1429"/>
    <s v="David Lee"/>
    <s v="Canada"/>
    <x v="8"/>
    <x v="4"/>
    <x v="13"/>
    <n v="3834"/>
    <n v="10.58"/>
    <n v="3.8"/>
    <x v="738"/>
    <n v="5"/>
    <n v="15"/>
    <n v="2423.25"/>
    <n v="5.35"/>
    <n v="2417.9"/>
  </r>
  <r>
    <s v="E50691DA"/>
    <x v="733"/>
    <x v="5"/>
    <s v="CUST4570"/>
    <s v="Ravi Khan"/>
    <s v="Indonesia"/>
    <x v="1"/>
    <x v="1"/>
    <x v="6"/>
    <n v="1419"/>
    <n v="31.65"/>
    <n v="4.5"/>
    <x v="739"/>
    <n v="1"/>
    <n v="9"/>
    <n v="307.53000000000003"/>
    <n v="7.09"/>
    <n v="300.44"/>
  </r>
  <r>
    <s v="AB52EF22"/>
    <x v="734"/>
    <x v="8"/>
    <s v="CUST8475"/>
    <s v="Emily Brown"/>
    <s v="South Africa"/>
    <x v="8"/>
    <x v="4"/>
    <x v="9"/>
    <n v="1277"/>
    <n v="14.92"/>
    <n v="1.3"/>
    <x v="740"/>
    <n v="1"/>
    <n v="13"/>
    <n v="503.48999999999995"/>
    <n v="7.29"/>
    <n v="496.2"/>
  </r>
  <r>
    <s v="7AD261A9"/>
    <x v="735"/>
    <x v="3"/>
    <s v="CUST9348"/>
    <s v="David Taylor"/>
    <s v="Indonesia"/>
    <x v="5"/>
    <x v="0"/>
    <x v="13"/>
    <n v="2971"/>
    <n v="36.270000000000003"/>
    <n v="4.5999999999999996"/>
    <x v="741"/>
    <n v="1"/>
    <n v="14"/>
    <n v="293.72000000000003"/>
    <n v="4.42"/>
    <n v="289.3"/>
  </r>
  <r>
    <s v="514EE905"/>
    <x v="416"/>
    <x v="6"/>
    <s v="CUST8274"/>
    <s v="Emily Smith"/>
    <s v="Canada"/>
    <x v="8"/>
    <x v="2"/>
    <x v="5"/>
    <n v="1181"/>
    <n v="39.92"/>
    <n v="1.3"/>
    <x v="742"/>
    <n v="3"/>
    <n v="18"/>
    <n v="1249.02"/>
    <n v="2.96"/>
    <n v="1246.06"/>
  </r>
  <r>
    <s v="68D1C258"/>
    <x v="736"/>
    <x v="7"/>
    <s v="CUST1382"/>
    <s v="Sara Patel"/>
    <s v="Singapore"/>
    <x v="8"/>
    <x v="1"/>
    <x v="0"/>
    <n v="1930"/>
    <n v="30.24"/>
    <n v="4.8"/>
    <x v="233"/>
    <n v="3"/>
    <n v="14"/>
    <n v="515.34"/>
    <n v="2.33"/>
    <n v="513.01"/>
  </r>
  <r>
    <s v="27BAC1BE"/>
    <x v="737"/>
    <x v="2"/>
    <s v="CUST7563"/>
    <s v="Sophia Brown"/>
    <s v="South Africa"/>
    <x v="7"/>
    <x v="2"/>
    <x v="8"/>
    <n v="4180"/>
    <n v="28.39"/>
    <n v="1.8"/>
    <x v="743"/>
    <n v="2"/>
    <n v="3"/>
    <n v="83.64"/>
    <n v="5.17"/>
    <n v="78.47"/>
  </r>
  <r>
    <s v="DB74BF93"/>
    <x v="738"/>
    <x v="4"/>
    <s v="CUST1862"/>
    <s v="Sara Das"/>
    <s v="Australia"/>
    <x v="8"/>
    <x v="0"/>
    <x v="3"/>
    <n v="2626"/>
    <n v="23.29"/>
    <n v="4.8"/>
    <x v="744"/>
    <n v="4"/>
    <n v="15"/>
    <n v="496.79999999999995"/>
    <n v="9.9"/>
    <n v="486.9"/>
  </r>
  <r>
    <s v="ACD3DA4C"/>
    <x v="739"/>
    <x v="5"/>
    <s v="CUST1880"/>
    <s v="Ravi Patel"/>
    <s v="Philippines"/>
    <x v="2"/>
    <x v="4"/>
    <x v="3"/>
    <n v="4698"/>
    <n v="20.52"/>
    <n v="2.9"/>
    <x v="571"/>
    <n v="5"/>
    <n v="16"/>
    <n v="1765.6"/>
    <n v="8.64"/>
    <n v="1756.96"/>
  </r>
  <r>
    <s v="7BE27E68"/>
    <x v="740"/>
    <x v="9"/>
    <s v="CUST7054"/>
    <s v="Emily Das"/>
    <s v="Indonesia"/>
    <x v="1"/>
    <x v="2"/>
    <x v="4"/>
    <n v="4576"/>
    <n v="5.76"/>
    <n v="3.7"/>
    <x v="745"/>
    <n v="2"/>
    <n v="14"/>
    <n v="260.68"/>
    <n v="0.36"/>
    <n v="260.32"/>
  </r>
  <r>
    <s v="5DCDBAAE"/>
    <x v="741"/>
    <x v="6"/>
    <s v="CUST7934"/>
    <s v="Ahmed Garcia"/>
    <s v="Philippines"/>
    <x v="2"/>
    <x v="2"/>
    <x v="3"/>
    <n v="4315"/>
    <n v="46.61"/>
    <n v="3.9"/>
    <x v="746"/>
    <n v="4"/>
    <n v="16"/>
    <n v="2503.6799999999998"/>
    <n v="7.04"/>
    <n v="2496.64"/>
  </r>
  <r>
    <s v="EF3A7C50"/>
    <x v="742"/>
    <x v="9"/>
    <s v="CUST8921"/>
    <s v="Ahmed Smith"/>
    <s v="South Africa"/>
    <x v="5"/>
    <x v="3"/>
    <x v="1"/>
    <n v="3463"/>
    <n v="26.32"/>
    <n v="1.7"/>
    <x v="747"/>
    <n v="2"/>
    <n v="6"/>
    <n v="418.91999999999996"/>
    <n v="3.48"/>
    <n v="415.44"/>
  </r>
  <r>
    <s v="3D57F4E0"/>
    <x v="743"/>
    <x v="2"/>
    <s v="CUST3742"/>
    <s v="Ahmed Garcia"/>
    <s v="Canada"/>
    <x v="3"/>
    <x v="1"/>
    <x v="6"/>
    <n v="2083"/>
    <n v="46.17"/>
    <n v="2.9"/>
    <x v="748"/>
    <n v="2"/>
    <n v="9"/>
    <n v="704.52"/>
    <n v="4.0599999999999996"/>
    <n v="700.46"/>
  </r>
  <r>
    <s v="B3207B8E"/>
    <x v="744"/>
    <x v="9"/>
    <s v="CUST3714"/>
    <s v="John Lee"/>
    <s v="Brazil"/>
    <x v="0"/>
    <x v="3"/>
    <x v="11"/>
    <n v="2033"/>
    <n v="23.79"/>
    <n v="2.7"/>
    <x v="749"/>
    <n v="4"/>
    <n v="12"/>
    <n v="900.48"/>
    <n v="5.27"/>
    <n v="895.21"/>
  </r>
  <r>
    <s v="20BCE290"/>
    <x v="745"/>
    <x v="6"/>
    <s v="CUST1682"/>
    <s v="Ahmed Taylor"/>
    <s v="Indonesia"/>
    <x v="3"/>
    <x v="4"/>
    <x v="12"/>
    <n v="4378"/>
    <n v="35.64"/>
    <n v="2.4"/>
    <x v="750"/>
    <n v="2"/>
    <n v="12"/>
    <n v="816.96"/>
    <n v="9.4700000000000006"/>
    <n v="807.49"/>
  </r>
  <r>
    <s v="F7E31606"/>
    <x v="746"/>
    <x v="3"/>
    <s v="CUST9357"/>
    <s v="Anita Khan"/>
    <s v="Indonesia"/>
    <x v="0"/>
    <x v="4"/>
    <x v="4"/>
    <n v="4680"/>
    <n v="9.02"/>
    <n v="4.2"/>
    <x v="360"/>
    <n v="3"/>
    <n v="9"/>
    <n v="810.54"/>
    <n v="3.48"/>
    <n v="807.06"/>
  </r>
  <r>
    <s v="2F115777"/>
    <x v="747"/>
    <x v="5"/>
    <s v="CUST3529"/>
    <s v="Priya Das"/>
    <s v="South Africa"/>
    <x v="0"/>
    <x v="1"/>
    <x v="1"/>
    <n v="458"/>
    <n v="27.85"/>
    <n v="1.6"/>
    <x v="751"/>
    <n v="1"/>
    <n v="9"/>
    <n v="180"/>
    <n v="4.7699999999999996"/>
    <n v="175.23"/>
  </r>
  <r>
    <s v="48D22CC8"/>
    <x v="748"/>
    <x v="6"/>
    <s v="CUST8925"/>
    <s v="Kumar Garcia"/>
    <s v="Australia"/>
    <x v="0"/>
    <x v="1"/>
    <x v="0"/>
    <n v="158"/>
    <n v="31.24"/>
    <n v="2.2999999999999998"/>
    <x v="752"/>
    <n v="3"/>
    <n v="2"/>
    <n v="166.02"/>
    <n v="3.51"/>
    <n v="162.51"/>
  </r>
  <r>
    <s v="195B9F5A"/>
    <x v="749"/>
    <x v="5"/>
    <s v="CUST5008"/>
    <s v="Anita Garcia"/>
    <s v="India"/>
    <x v="6"/>
    <x v="4"/>
    <x v="8"/>
    <n v="4066"/>
    <n v="41.46"/>
    <n v="1.8"/>
    <x v="753"/>
    <n v="1"/>
    <n v="7"/>
    <n v="187.04"/>
    <n v="8.18"/>
    <n v="178.86"/>
  </r>
  <r>
    <s v="54B95ADB"/>
    <x v="81"/>
    <x v="5"/>
    <s v="CUST1596"/>
    <s v="Priya Khan"/>
    <s v="Qatar"/>
    <x v="0"/>
    <x v="1"/>
    <x v="0"/>
    <n v="583"/>
    <n v="26.55"/>
    <n v="3.4"/>
    <x v="754"/>
    <n v="3"/>
    <n v="10"/>
    <n v="978.90000000000009"/>
    <n v="0.9"/>
    <n v="978"/>
  </r>
  <r>
    <s v="4DC3314A"/>
    <x v="451"/>
    <x v="9"/>
    <s v="CUST2720"/>
    <s v="Ahmed Sharma"/>
    <s v="Canada"/>
    <x v="2"/>
    <x v="3"/>
    <x v="4"/>
    <n v="2093"/>
    <n v="35.6"/>
    <n v="4.5"/>
    <x v="755"/>
    <n v="1"/>
    <n v="14"/>
    <n v="197.12"/>
    <n v="1.53"/>
    <n v="195.59"/>
  </r>
  <r>
    <s v="A55D9038"/>
    <x v="750"/>
    <x v="2"/>
    <s v="CUST2626"/>
    <s v="Kumar Lee"/>
    <s v="Qatar"/>
    <x v="6"/>
    <x v="3"/>
    <x v="8"/>
    <n v="847"/>
    <n v="10.72"/>
    <n v="2.6"/>
    <x v="756"/>
    <n v="5"/>
    <n v="2"/>
    <n v="386.8"/>
    <n v="2.12"/>
    <n v="384.68"/>
  </r>
  <r>
    <s v="8FB3CEC0"/>
    <x v="751"/>
    <x v="5"/>
    <s v="CUST6903"/>
    <s v="Sara Brown"/>
    <s v="Qatar"/>
    <x v="8"/>
    <x v="1"/>
    <x v="5"/>
    <n v="950"/>
    <n v="24.51"/>
    <n v="1.1000000000000001"/>
    <x v="757"/>
    <n v="5"/>
    <n v="1"/>
    <n v="179.95000000000002"/>
    <n v="5.08"/>
    <n v="174.87"/>
  </r>
  <r>
    <s v="9CE2B539"/>
    <x v="620"/>
    <x v="9"/>
    <s v="CUST4283"/>
    <s v="Ahmed Smith"/>
    <s v="Brazil"/>
    <x v="8"/>
    <x v="3"/>
    <x v="12"/>
    <n v="623"/>
    <n v="39.770000000000003"/>
    <n v="1.8"/>
    <x v="758"/>
    <n v="3"/>
    <n v="9"/>
    <n v="609.11999999999989"/>
    <n v="9.1999999999999993"/>
    <n v="599.91999999999996"/>
  </r>
  <r>
    <s v="561312A2"/>
    <x v="439"/>
    <x v="2"/>
    <s v="CUST7961"/>
    <s v="Ahmed Sharma"/>
    <s v="Australia"/>
    <x v="2"/>
    <x v="4"/>
    <x v="10"/>
    <n v="1071"/>
    <n v="15.72"/>
    <n v="4.0999999999999996"/>
    <x v="565"/>
    <n v="5"/>
    <n v="1"/>
    <n v="165.39999999999998"/>
    <n v="6.32"/>
    <n v="159.08000000000001"/>
  </r>
  <r>
    <s v="053E9956"/>
    <x v="605"/>
    <x v="0"/>
    <s v="CUST3965"/>
    <s v="Ahmed Patel"/>
    <s v="Canada"/>
    <x v="6"/>
    <x v="0"/>
    <x v="0"/>
    <n v="3182"/>
    <n v="15.32"/>
    <n v="4.5"/>
    <x v="759"/>
    <n v="4"/>
    <n v="10"/>
    <n v="948.40000000000009"/>
    <n v="1.02"/>
    <n v="947.38"/>
  </r>
  <r>
    <s v="C1655E25"/>
    <x v="701"/>
    <x v="3"/>
    <s v="CUST2808"/>
    <s v="David Garcia"/>
    <s v="Singapore"/>
    <x v="1"/>
    <x v="1"/>
    <x v="9"/>
    <n v="1954"/>
    <n v="14.42"/>
    <n v="1.6"/>
    <x v="760"/>
    <n v="2"/>
    <n v="3"/>
    <n v="234.06"/>
    <n v="5.5"/>
    <n v="228.56"/>
  </r>
  <r>
    <s v="CF984FC1"/>
    <x v="752"/>
    <x v="6"/>
    <s v="CUST7507"/>
    <s v="Ahmed Taylor"/>
    <s v="Australia"/>
    <x v="4"/>
    <x v="4"/>
    <x v="0"/>
    <n v="2950"/>
    <n v="12.37"/>
    <n v="2.7"/>
    <x v="148"/>
    <n v="2"/>
    <n v="19"/>
    <n v="966.34"/>
    <n v="1.55"/>
    <n v="964.79"/>
  </r>
  <r>
    <s v="BE2D6825"/>
    <x v="753"/>
    <x v="9"/>
    <s v="CUST9753"/>
    <s v="Sara Taylor"/>
    <s v="South Africa"/>
    <x v="4"/>
    <x v="2"/>
    <x v="0"/>
    <n v="3023"/>
    <n v="18.93"/>
    <n v="2.8"/>
    <x v="761"/>
    <n v="2"/>
    <n v="10"/>
    <n v="699.80000000000007"/>
    <n v="5.84"/>
    <n v="693.96"/>
  </r>
  <r>
    <s v="15D7BB4B"/>
    <x v="754"/>
    <x v="6"/>
    <s v="CUST4558"/>
    <s v="Sara Patel"/>
    <s v="India"/>
    <x v="1"/>
    <x v="2"/>
    <x v="8"/>
    <n v="3522"/>
    <n v="29.66"/>
    <n v="3.4"/>
    <x v="762"/>
    <n v="1"/>
    <n v="15"/>
    <n v="86.399999999999991"/>
    <n v="9.2100000000000009"/>
    <n v="77.19"/>
  </r>
  <r>
    <s v="FB42FE75"/>
    <x v="755"/>
    <x v="9"/>
    <s v="CUST8370"/>
    <s v="Emily Taylor"/>
    <s v="New Zealand"/>
    <x v="3"/>
    <x v="1"/>
    <x v="9"/>
    <n v="4267"/>
    <n v="17.5"/>
    <n v="1.2"/>
    <x v="685"/>
    <n v="3"/>
    <n v="16"/>
    <n v="1086.72"/>
    <n v="4.68"/>
    <n v="1082.04"/>
  </r>
  <r>
    <s v="3B64B077"/>
    <x v="756"/>
    <x v="9"/>
    <s v="CUST9943"/>
    <s v="Emily Patel"/>
    <s v="Qatar"/>
    <x v="2"/>
    <x v="3"/>
    <x v="3"/>
    <n v="4925"/>
    <n v="44.46"/>
    <n v="4.5999999999999996"/>
    <x v="763"/>
    <n v="5"/>
    <n v="10"/>
    <n v="691"/>
    <n v="8.81"/>
    <n v="682.19"/>
  </r>
  <r>
    <s v="9F9DB8BA"/>
    <x v="757"/>
    <x v="7"/>
    <s v="CUST6628"/>
    <s v="Priya Brown"/>
    <s v="Australia"/>
    <x v="3"/>
    <x v="3"/>
    <x v="6"/>
    <n v="790"/>
    <n v="9.65"/>
    <n v="3.2"/>
    <x v="764"/>
    <n v="4"/>
    <n v="5"/>
    <n v="129.19999999999999"/>
    <n v="9.52"/>
    <n v="119.68"/>
  </r>
  <r>
    <s v="331F69C5"/>
    <x v="758"/>
    <x v="2"/>
    <s v="CUST5266"/>
    <s v="Anita Brown"/>
    <s v="Qatar"/>
    <x v="5"/>
    <x v="4"/>
    <x v="9"/>
    <n v="1542"/>
    <n v="45.49"/>
    <n v="3.4"/>
    <x v="765"/>
    <n v="4"/>
    <n v="8"/>
    <n v="745.6"/>
    <n v="5.98"/>
    <n v="739.62"/>
  </r>
  <r>
    <s v="B6C40CE9"/>
    <x v="759"/>
    <x v="1"/>
    <s v="CUST8086"/>
    <s v="Priya Taylor"/>
    <s v="Australia"/>
    <x v="4"/>
    <x v="2"/>
    <x v="9"/>
    <n v="4934"/>
    <n v="24.27"/>
    <n v="1.9"/>
    <x v="766"/>
    <n v="1"/>
    <n v="18"/>
    <n v="657.54"/>
    <n v="0.18"/>
    <n v="657.36"/>
  </r>
  <r>
    <s v="3C714D4D"/>
    <x v="760"/>
    <x v="5"/>
    <s v="CUST4228"/>
    <s v="Sophia Sharma"/>
    <s v="Australia"/>
    <x v="3"/>
    <x v="4"/>
    <x v="5"/>
    <n v="2507"/>
    <n v="28.71"/>
    <n v="3.9"/>
    <x v="767"/>
    <n v="1"/>
    <n v="18"/>
    <n v="252.18"/>
    <n v="8.82"/>
    <n v="243.36"/>
  </r>
  <r>
    <s v="9DDA088E"/>
    <x v="761"/>
    <x v="6"/>
    <s v="CUST3384"/>
    <s v="John Lee"/>
    <s v="Indonesia"/>
    <x v="8"/>
    <x v="4"/>
    <x v="13"/>
    <n v="3362"/>
    <n v="19.059999999999999"/>
    <n v="3.2"/>
    <x v="456"/>
    <n v="2"/>
    <n v="6"/>
    <n v="378.12"/>
    <n v="1.65"/>
    <n v="376.47"/>
  </r>
  <r>
    <s v="84AD6DD7"/>
    <x v="762"/>
    <x v="8"/>
    <s v="CUST9573"/>
    <s v="Ahmed Patel"/>
    <s v="South Africa"/>
    <x v="8"/>
    <x v="3"/>
    <x v="7"/>
    <n v="1749"/>
    <n v="21.97"/>
    <n v="4.5"/>
    <x v="387"/>
    <n v="1"/>
    <n v="4"/>
    <n v="89.8"/>
    <n v="2.4900000000000002"/>
    <n v="87.31"/>
  </r>
  <r>
    <s v="DDA66B38"/>
    <x v="763"/>
    <x v="5"/>
    <s v="CUST1275"/>
    <s v="Anita Lee"/>
    <s v="Qatar"/>
    <x v="6"/>
    <x v="1"/>
    <x v="10"/>
    <n v="1801"/>
    <n v="45.83"/>
    <n v="3.8"/>
    <x v="768"/>
    <n v="3"/>
    <n v="14"/>
    <n v="1125.6000000000001"/>
    <n v="6.48"/>
    <n v="1119.1199999999999"/>
  </r>
  <r>
    <s v="472B6E2B"/>
    <x v="131"/>
    <x v="5"/>
    <s v="CUST2768"/>
    <s v="Sara Garcia"/>
    <s v="India"/>
    <x v="4"/>
    <x v="4"/>
    <x v="0"/>
    <n v="4563"/>
    <n v="6.22"/>
    <n v="1.9"/>
    <x v="769"/>
    <n v="1"/>
    <n v="7"/>
    <n v="153.44"/>
    <n v="2.5"/>
    <n v="150.94"/>
  </r>
  <r>
    <s v="6F1DEA4E"/>
    <x v="764"/>
    <x v="2"/>
    <s v="CUST6614"/>
    <s v="Ahmed Lee"/>
    <s v="Qatar"/>
    <x v="0"/>
    <x v="3"/>
    <x v="6"/>
    <n v="1231"/>
    <n v="40"/>
    <n v="1.9"/>
    <x v="770"/>
    <n v="1"/>
    <n v="12"/>
    <n v="456.12"/>
    <n v="5.94"/>
    <n v="450.18"/>
  </r>
  <r>
    <s v="AD387B37"/>
    <x v="765"/>
    <x v="6"/>
    <s v="CUST1733"/>
    <s v="Priya Khan"/>
    <s v="Singapore"/>
    <x v="1"/>
    <x v="2"/>
    <x v="1"/>
    <n v="4487"/>
    <n v="12.91"/>
    <n v="1.3"/>
    <x v="532"/>
    <n v="1"/>
    <n v="20"/>
    <n v="631.19999999999993"/>
    <n v="9.98"/>
    <n v="621.22"/>
  </r>
  <r>
    <s v="34D84AAC"/>
    <x v="766"/>
    <x v="2"/>
    <s v="CUST3208"/>
    <s v="Kumar Sharma"/>
    <s v="Australia"/>
    <x v="4"/>
    <x v="3"/>
    <x v="12"/>
    <n v="2543"/>
    <n v="8.8800000000000008"/>
    <n v="4.4000000000000004"/>
    <x v="771"/>
    <n v="5"/>
    <n v="20"/>
    <n v="842"/>
    <n v="9.7200000000000006"/>
    <n v="832.28"/>
  </r>
  <r>
    <s v="FB5E0F11"/>
    <x v="767"/>
    <x v="9"/>
    <s v="CUST2799"/>
    <s v="Ahmed Brown"/>
    <s v="South Africa"/>
    <x v="5"/>
    <x v="1"/>
    <x v="2"/>
    <n v="3425"/>
    <n v="12.07"/>
    <n v="3.1"/>
    <x v="540"/>
    <n v="3"/>
    <n v="14"/>
    <n v="705.60000000000014"/>
    <n v="9.43"/>
    <n v="696.17"/>
  </r>
  <r>
    <s v="B585E43B"/>
    <x v="768"/>
    <x v="4"/>
    <s v="CUST6124"/>
    <s v="Ravi Khan"/>
    <s v="Philippines"/>
    <x v="3"/>
    <x v="1"/>
    <x v="6"/>
    <n v="2913"/>
    <n v="34.68"/>
    <n v="1.5"/>
    <x v="772"/>
    <n v="5"/>
    <n v="14"/>
    <n v="1694"/>
    <n v="2.4"/>
    <n v="1691.6"/>
  </r>
  <r>
    <s v="C5C2396C"/>
    <x v="592"/>
    <x v="1"/>
    <s v="CUST5208"/>
    <s v="Emily Taylor"/>
    <s v="Singapore"/>
    <x v="4"/>
    <x v="3"/>
    <x v="8"/>
    <n v="4172"/>
    <n v="5.67"/>
    <n v="2.5"/>
    <x v="773"/>
    <n v="4"/>
    <n v="8"/>
    <n v="366.4"/>
    <n v="0.7"/>
    <n v="365.7"/>
  </r>
  <r>
    <s v="AB32514C"/>
    <x v="769"/>
    <x v="9"/>
    <s v="CUST4527"/>
    <s v="Priya Patel"/>
    <s v="India"/>
    <x v="3"/>
    <x v="4"/>
    <x v="14"/>
    <n v="3175"/>
    <n v="33.44"/>
    <n v="1.1000000000000001"/>
    <x v="774"/>
    <n v="5"/>
    <n v="15"/>
    <n v="2737.5"/>
    <n v="4.29"/>
    <n v="2733.21"/>
  </r>
  <r>
    <s v="1B1E9FFB"/>
    <x v="770"/>
    <x v="1"/>
    <s v="CUST5234"/>
    <s v="Sophia Sharma"/>
    <s v="Qatar"/>
    <x v="7"/>
    <x v="0"/>
    <x v="13"/>
    <n v="1177"/>
    <n v="18.350000000000001"/>
    <n v="3.9"/>
    <x v="775"/>
    <n v="4"/>
    <n v="14"/>
    <n v="2172.7999999999997"/>
    <n v="1.52"/>
    <n v="2171.2800000000002"/>
  </r>
  <r>
    <s v="BB769EA3"/>
    <x v="147"/>
    <x v="6"/>
    <s v="CUST5897"/>
    <s v="Ravi Brown"/>
    <s v="Australia"/>
    <x v="7"/>
    <x v="4"/>
    <x v="0"/>
    <n v="2026"/>
    <n v="13.76"/>
    <n v="3.5"/>
    <x v="776"/>
    <n v="1"/>
    <n v="11"/>
    <n v="88.33"/>
    <n v="0.68"/>
    <n v="87.65"/>
  </r>
  <r>
    <s v="4DDA78CA"/>
    <x v="496"/>
    <x v="2"/>
    <s v="CUST2526"/>
    <s v="Sara Sharma"/>
    <s v="South Africa"/>
    <x v="6"/>
    <x v="3"/>
    <x v="5"/>
    <n v="2035"/>
    <n v="29.63"/>
    <n v="2.2000000000000002"/>
    <x v="777"/>
    <n v="3"/>
    <n v="14"/>
    <n v="778.26"/>
    <n v="3.91"/>
    <n v="774.35"/>
  </r>
  <r>
    <s v="434586F9"/>
    <x v="771"/>
    <x v="2"/>
    <s v="CUST8369"/>
    <s v="Anita Patel"/>
    <s v="South Africa"/>
    <x v="2"/>
    <x v="2"/>
    <x v="14"/>
    <n v="1826"/>
    <n v="6.78"/>
    <n v="1.4"/>
    <x v="778"/>
    <n v="1"/>
    <n v="19"/>
    <n v="183.16000000000003"/>
    <n v="1.42"/>
    <n v="181.74"/>
  </r>
  <r>
    <s v="9F36A4F6"/>
    <x v="772"/>
    <x v="4"/>
    <s v="CUST5378"/>
    <s v="Sophia Khan"/>
    <s v="New Zealand"/>
    <x v="5"/>
    <x v="1"/>
    <x v="11"/>
    <n v="3226"/>
    <n v="44.54"/>
    <n v="2.5"/>
    <x v="250"/>
    <n v="1"/>
    <n v="16"/>
    <n v="519.20000000000005"/>
    <n v="3.22"/>
    <n v="515.98"/>
  </r>
  <r>
    <s v="3DF4F355"/>
    <x v="140"/>
    <x v="7"/>
    <s v="CUST2073"/>
    <s v="Ahmed Garcia"/>
    <s v="India"/>
    <x v="0"/>
    <x v="3"/>
    <x v="0"/>
    <n v="3144"/>
    <n v="13.12"/>
    <n v="4.8"/>
    <x v="779"/>
    <n v="5"/>
    <n v="3"/>
    <n v="110.4"/>
    <n v="7.02"/>
    <n v="103.38"/>
  </r>
  <r>
    <s v="78F0072C"/>
    <x v="773"/>
    <x v="5"/>
    <s v="CUST4540"/>
    <s v="Sophia Taylor"/>
    <s v="Indonesia"/>
    <x v="3"/>
    <x v="3"/>
    <x v="14"/>
    <n v="3627"/>
    <n v="23.87"/>
    <n v="4.0999999999999996"/>
    <x v="780"/>
    <n v="4"/>
    <n v="6"/>
    <n v="704.16"/>
    <n v="4.03"/>
    <n v="700.13"/>
  </r>
  <r>
    <s v="80ECE806"/>
    <x v="774"/>
    <x v="5"/>
    <s v="CUST8442"/>
    <s v="Ahmed Das"/>
    <s v="New Zealand"/>
    <x v="8"/>
    <x v="3"/>
    <x v="9"/>
    <n v="2127"/>
    <n v="28.55"/>
    <n v="1.4"/>
    <x v="781"/>
    <n v="3"/>
    <n v="10"/>
    <n v="559.20000000000005"/>
    <n v="5.5"/>
    <n v="553.70000000000005"/>
  </r>
  <r>
    <s v="9689E65D"/>
    <x v="395"/>
    <x v="6"/>
    <s v="CUST4619"/>
    <s v="Ravi Smith"/>
    <s v="Canada"/>
    <x v="3"/>
    <x v="4"/>
    <x v="4"/>
    <n v="1400"/>
    <n v="13.71"/>
    <n v="1.9"/>
    <x v="412"/>
    <n v="3"/>
    <n v="17"/>
    <n v="744.59999999999991"/>
    <n v="5.04"/>
    <n v="739.56"/>
  </r>
  <r>
    <s v="EE8A8AB9"/>
    <x v="16"/>
    <x v="6"/>
    <s v="CUST8976"/>
    <s v="Emily Patel"/>
    <s v="Philippines"/>
    <x v="0"/>
    <x v="2"/>
    <x v="8"/>
    <n v="1739"/>
    <n v="28.42"/>
    <n v="2"/>
    <x v="782"/>
    <n v="5"/>
    <n v="19"/>
    <n v="854.05000000000007"/>
    <n v="7.67"/>
    <n v="846.38"/>
  </r>
  <r>
    <s v="B7EEB421"/>
    <x v="775"/>
    <x v="5"/>
    <s v="CUST3058"/>
    <s v="Priya Garcia"/>
    <s v="Indonesia"/>
    <x v="2"/>
    <x v="0"/>
    <x v="1"/>
    <n v="507"/>
    <n v="13.85"/>
    <n v="1.4"/>
    <x v="783"/>
    <n v="2"/>
    <n v="9"/>
    <n v="578.16"/>
    <n v="2.9"/>
    <n v="575.26"/>
  </r>
  <r>
    <s v="7C0AF4FD"/>
    <x v="776"/>
    <x v="6"/>
    <s v="CUST6934"/>
    <s v="Ravi Lee"/>
    <s v="South Africa"/>
    <x v="8"/>
    <x v="1"/>
    <x v="12"/>
    <n v="3377"/>
    <n v="30.67"/>
    <n v="2.4"/>
    <x v="784"/>
    <n v="5"/>
    <n v="20"/>
    <n v="2675"/>
    <n v="7.85"/>
    <n v="2667.15"/>
  </r>
  <r>
    <s v="A98F5803"/>
    <x v="777"/>
    <x v="6"/>
    <s v="CUST9009"/>
    <s v="Emily Das"/>
    <s v="South Africa"/>
    <x v="5"/>
    <x v="4"/>
    <x v="12"/>
    <n v="1507"/>
    <n v="36.26"/>
    <n v="1.3"/>
    <x v="785"/>
    <n v="1"/>
    <n v="16"/>
    <n v="183.84"/>
    <n v="9.58"/>
    <n v="174.26"/>
  </r>
  <r>
    <s v="15EBA4E8"/>
    <x v="778"/>
    <x v="7"/>
    <s v="CUST1282"/>
    <s v="Priya Khan"/>
    <s v="Australia"/>
    <x v="4"/>
    <x v="1"/>
    <x v="10"/>
    <n v="603"/>
    <n v="48.1"/>
    <n v="1.4"/>
    <x v="786"/>
    <n v="2"/>
    <n v="6"/>
    <n v="347.88"/>
    <n v="3.63"/>
    <n v="344.25"/>
  </r>
  <r>
    <s v="D52A804C"/>
    <x v="779"/>
    <x v="1"/>
    <s v="CUST7204"/>
    <s v="John Garcia"/>
    <s v="Singapore"/>
    <x v="4"/>
    <x v="4"/>
    <x v="14"/>
    <n v="2399"/>
    <n v="43.91"/>
    <n v="4.3"/>
    <x v="787"/>
    <n v="4"/>
    <n v="16"/>
    <n v="634.24"/>
    <n v="0.99"/>
    <n v="633.25"/>
  </r>
  <r>
    <s v="22224B3C"/>
    <x v="780"/>
    <x v="4"/>
    <s v="CUST3902"/>
    <s v="Priya Sharma"/>
    <s v="South Africa"/>
    <x v="7"/>
    <x v="4"/>
    <x v="1"/>
    <n v="208"/>
    <n v="10.54"/>
    <n v="1.2"/>
    <x v="788"/>
    <n v="4"/>
    <n v="8"/>
    <n v="831.36"/>
    <n v="1.99"/>
    <n v="829.37"/>
  </r>
  <r>
    <s v="373D2839"/>
    <x v="781"/>
    <x v="4"/>
    <s v="CUST9559"/>
    <s v="Priya Khan"/>
    <s v="South Africa"/>
    <x v="5"/>
    <x v="4"/>
    <x v="9"/>
    <n v="4612"/>
    <n v="19.579999999999998"/>
    <n v="4.5"/>
    <x v="789"/>
    <n v="2"/>
    <n v="2"/>
    <n v="22.72"/>
    <n v="7.18"/>
    <n v="15.54"/>
  </r>
  <r>
    <s v="EA436733"/>
    <x v="782"/>
    <x v="9"/>
    <s v="CUST6532"/>
    <s v="John Lee"/>
    <s v="Indonesia"/>
    <x v="3"/>
    <x v="1"/>
    <x v="14"/>
    <n v="990"/>
    <n v="23.52"/>
    <n v="4.4000000000000004"/>
    <x v="790"/>
    <n v="5"/>
    <n v="10"/>
    <n v="1291.4999999999998"/>
    <n v="7.86"/>
    <n v="1283.6400000000001"/>
  </r>
  <r>
    <s v="9ACD7772"/>
    <x v="783"/>
    <x v="2"/>
    <s v="CUST1210"/>
    <s v="David Garcia"/>
    <s v="South Africa"/>
    <x v="2"/>
    <x v="1"/>
    <x v="14"/>
    <n v="4203"/>
    <n v="48.43"/>
    <n v="1.4"/>
    <x v="791"/>
    <n v="3"/>
    <n v="11"/>
    <n v="1207.47"/>
    <n v="8.6300000000000008"/>
    <n v="1198.8399999999999"/>
  </r>
  <r>
    <s v="EA9D8276"/>
    <x v="288"/>
    <x v="0"/>
    <s v="CUST1943"/>
    <s v="John Khan"/>
    <s v="Brazil"/>
    <x v="1"/>
    <x v="0"/>
    <x v="8"/>
    <n v="3759"/>
    <n v="37.729999999999997"/>
    <n v="4.2"/>
    <x v="577"/>
    <n v="4"/>
    <n v="14"/>
    <n v="712.32"/>
    <n v="0.39"/>
    <n v="711.93"/>
  </r>
  <r>
    <s v="0A978569"/>
    <x v="596"/>
    <x v="8"/>
    <s v="CUST8427"/>
    <s v="Emily Patel"/>
    <s v="South Africa"/>
    <x v="7"/>
    <x v="4"/>
    <x v="2"/>
    <n v="1491"/>
    <n v="12.69"/>
    <n v="5"/>
    <x v="792"/>
    <n v="2"/>
    <n v="19"/>
    <n v="1437.16"/>
    <n v="8.6300000000000008"/>
    <n v="1428.53"/>
  </r>
  <r>
    <s v="E82E561C"/>
    <x v="50"/>
    <x v="4"/>
    <s v="CUST9453"/>
    <s v="David Khan"/>
    <s v="Australia"/>
    <x v="4"/>
    <x v="1"/>
    <x v="3"/>
    <n v="3996"/>
    <n v="31.73"/>
    <n v="3.7"/>
    <x v="367"/>
    <n v="3"/>
    <n v="16"/>
    <n v="1023.8399999999999"/>
    <n v="7.35"/>
    <n v="1016.49"/>
  </r>
  <r>
    <s v="19AD2ECC"/>
    <x v="784"/>
    <x v="7"/>
    <s v="CUST3863"/>
    <s v="David Brown"/>
    <s v="South Africa"/>
    <x v="3"/>
    <x v="3"/>
    <x v="10"/>
    <n v="2301"/>
    <n v="6.03"/>
    <n v="3.2"/>
    <x v="793"/>
    <n v="1"/>
    <n v="19"/>
    <n v="204.06"/>
    <n v="2.39"/>
    <n v="201.67"/>
  </r>
  <r>
    <s v="B6B2484E"/>
    <x v="785"/>
    <x v="4"/>
    <s v="CUST7499"/>
    <s v="Sara Garcia"/>
    <s v="Philippines"/>
    <x v="4"/>
    <x v="1"/>
    <x v="8"/>
    <n v="1967"/>
    <n v="16"/>
    <n v="2.1"/>
    <x v="794"/>
    <n v="3"/>
    <n v="19"/>
    <n v="1368"/>
    <n v="9.98"/>
    <n v="1358.02"/>
  </r>
  <r>
    <s v="923F6149"/>
    <x v="786"/>
    <x v="9"/>
    <s v="CUST9255"/>
    <s v="Anita Lee"/>
    <s v="India"/>
    <x v="5"/>
    <x v="3"/>
    <x v="8"/>
    <n v="1387"/>
    <n v="31.15"/>
    <n v="2.8"/>
    <x v="795"/>
    <n v="3"/>
    <n v="11"/>
    <n v="699.2700000000001"/>
    <n v="6.61"/>
    <n v="692.66"/>
  </r>
  <r>
    <s v="A527398A"/>
    <x v="787"/>
    <x v="5"/>
    <s v="CUST2268"/>
    <s v="Sara Taylor"/>
    <s v="South Africa"/>
    <x v="6"/>
    <x v="3"/>
    <x v="12"/>
    <n v="3440"/>
    <n v="29.88"/>
    <n v="3.2"/>
    <x v="796"/>
    <n v="1"/>
    <n v="7"/>
    <n v="222.95000000000002"/>
    <n v="3.54"/>
    <n v="219.41"/>
  </r>
  <r>
    <s v="74617F46"/>
    <x v="788"/>
    <x v="5"/>
    <s v="CUST8994"/>
    <s v="Emily Lee"/>
    <s v="Australia"/>
    <x v="2"/>
    <x v="0"/>
    <x v="2"/>
    <n v="3038"/>
    <n v="9.1199999999999992"/>
    <n v="2.4"/>
    <x v="797"/>
    <n v="4"/>
    <n v="9"/>
    <n v="492.48"/>
    <n v="2.2999999999999998"/>
    <n v="490.18"/>
  </r>
  <r>
    <s v="EF0296C8"/>
    <x v="789"/>
    <x v="7"/>
    <s v="CUST3026"/>
    <s v="Priya Khan"/>
    <s v="Singapore"/>
    <x v="2"/>
    <x v="4"/>
    <x v="8"/>
    <n v="4710"/>
    <n v="14.52"/>
    <n v="2.9"/>
    <x v="798"/>
    <n v="4"/>
    <n v="19"/>
    <n v="655.11999999999989"/>
    <n v="9.6300000000000008"/>
    <n v="645.49"/>
  </r>
  <r>
    <s v="B5DF4300"/>
    <x v="121"/>
    <x v="2"/>
    <s v="CUST3134"/>
    <s v="Priya Das"/>
    <s v="Philippines"/>
    <x v="2"/>
    <x v="0"/>
    <x v="5"/>
    <n v="2269"/>
    <n v="30.41"/>
    <n v="3.7"/>
    <x v="419"/>
    <n v="2"/>
    <n v="20"/>
    <n v="1568.4"/>
    <n v="2.11"/>
    <n v="1566.29"/>
  </r>
  <r>
    <s v="78C65BD2"/>
    <x v="634"/>
    <x v="8"/>
    <s v="CUST3561"/>
    <s v="Anita Garcia"/>
    <s v="Qatar"/>
    <x v="7"/>
    <x v="2"/>
    <x v="8"/>
    <n v="3648"/>
    <n v="13.95"/>
    <n v="3.6"/>
    <x v="799"/>
    <n v="2"/>
    <n v="8"/>
    <n v="429.76"/>
    <n v="7.73"/>
    <n v="422.03"/>
  </r>
  <r>
    <s v="0326F586"/>
    <x v="790"/>
    <x v="3"/>
    <s v="CUST4924"/>
    <s v="David Sharma"/>
    <s v="Singapore"/>
    <x v="0"/>
    <x v="1"/>
    <x v="5"/>
    <n v="1724"/>
    <n v="27.89"/>
    <n v="4.5"/>
    <x v="800"/>
    <n v="1"/>
    <n v="13"/>
    <n v="404.03999999999996"/>
    <n v="8.9700000000000006"/>
    <n v="395.07"/>
  </r>
  <r>
    <s v="F295CE0A"/>
    <x v="531"/>
    <x v="5"/>
    <s v="CUST3511"/>
    <s v="Sara Patel"/>
    <s v="Australia"/>
    <x v="4"/>
    <x v="3"/>
    <x v="5"/>
    <n v="2233"/>
    <n v="43.28"/>
    <n v="2.2000000000000002"/>
    <x v="801"/>
    <n v="5"/>
    <n v="1"/>
    <n v="72.95"/>
    <n v="6.03"/>
    <n v="66.92"/>
  </r>
  <r>
    <s v="01468413"/>
    <x v="165"/>
    <x v="7"/>
    <s v="CUST5526"/>
    <s v="David Khan"/>
    <s v="New Zealand"/>
    <x v="8"/>
    <x v="0"/>
    <x v="14"/>
    <n v="3756"/>
    <n v="21.4"/>
    <n v="1.5"/>
    <x v="802"/>
    <n v="4"/>
    <n v="13"/>
    <n v="1064.96"/>
    <n v="0.44"/>
    <n v="1064.52"/>
  </r>
  <r>
    <s v="09873494"/>
    <x v="791"/>
    <x v="3"/>
    <s v="CUST1499"/>
    <s v="Priya Singh"/>
    <s v="Canada"/>
    <x v="3"/>
    <x v="4"/>
    <x v="13"/>
    <n v="2780"/>
    <n v="8.51"/>
    <n v="2.6"/>
    <x v="71"/>
    <n v="2"/>
    <n v="10"/>
    <n v="300.79999999999995"/>
    <n v="8.92"/>
    <n v="291.88"/>
  </r>
  <r>
    <s v="0811705A"/>
    <x v="792"/>
    <x v="2"/>
    <s v="CUST8493"/>
    <s v="Ahmed Patel"/>
    <s v="Indonesia"/>
    <x v="3"/>
    <x v="4"/>
    <x v="1"/>
    <n v="1899"/>
    <n v="40.799999999999997"/>
    <n v="1.5"/>
    <x v="803"/>
    <n v="1"/>
    <n v="10"/>
    <n v="159.80000000000001"/>
    <n v="8.8000000000000007"/>
    <n v="151"/>
  </r>
  <r>
    <s v="E74FEF9D"/>
    <x v="793"/>
    <x v="8"/>
    <s v="CUST2337"/>
    <s v="Kumar Brown"/>
    <s v="Singapore"/>
    <x v="3"/>
    <x v="4"/>
    <x v="4"/>
    <n v="181"/>
    <n v="12.13"/>
    <n v="4.2"/>
    <x v="562"/>
    <n v="4"/>
    <n v="13"/>
    <n v="1180.92"/>
    <n v="0.84"/>
    <n v="1180.08"/>
  </r>
  <r>
    <s v="E9FCE937"/>
    <x v="530"/>
    <x v="6"/>
    <s v="CUST8456"/>
    <s v="David Smith"/>
    <s v="Brazil"/>
    <x v="1"/>
    <x v="3"/>
    <x v="8"/>
    <n v="3757"/>
    <n v="21.18"/>
    <n v="4.3"/>
    <x v="804"/>
    <n v="4"/>
    <n v="15"/>
    <n v="2203.1999999999998"/>
    <n v="8.06"/>
    <n v="2195.14"/>
  </r>
  <r>
    <s v="C85FA1FA"/>
    <x v="27"/>
    <x v="9"/>
    <s v="CUST4333"/>
    <s v="Priya Smith"/>
    <s v="Brazil"/>
    <x v="0"/>
    <x v="1"/>
    <x v="1"/>
    <n v="4118"/>
    <n v="6.75"/>
    <n v="1.1000000000000001"/>
    <x v="805"/>
    <n v="2"/>
    <n v="5"/>
    <n v="193"/>
    <n v="8.68"/>
    <n v="184.32"/>
  </r>
  <r>
    <s v="4482F87C"/>
    <x v="794"/>
    <x v="8"/>
    <s v="CUST6177"/>
    <s v="Ravi Das"/>
    <s v="Australia"/>
    <x v="8"/>
    <x v="4"/>
    <x v="4"/>
    <n v="2894"/>
    <n v="17.89"/>
    <n v="1"/>
    <x v="806"/>
    <n v="2"/>
    <n v="13"/>
    <n v="840.84000000000015"/>
    <n v="0.99"/>
    <n v="839.85"/>
  </r>
  <r>
    <s v="F2CF86FD"/>
    <x v="795"/>
    <x v="1"/>
    <s v="CUST5848"/>
    <s v="Priya Lee"/>
    <s v="Qatar"/>
    <x v="5"/>
    <x v="2"/>
    <x v="12"/>
    <n v="2216"/>
    <n v="39.94"/>
    <n v="2.7"/>
    <x v="807"/>
    <n v="5"/>
    <n v="17"/>
    <n v="615.40000000000009"/>
    <n v="7.93"/>
    <n v="607.47"/>
  </r>
  <r>
    <s v="9FDFE8EB"/>
    <x v="477"/>
    <x v="2"/>
    <s v="CUST9569"/>
    <s v="Emily Sharma"/>
    <s v="Indonesia"/>
    <x v="6"/>
    <x v="0"/>
    <x v="12"/>
    <n v="618"/>
    <n v="18.510000000000002"/>
    <n v="1.3"/>
    <x v="808"/>
    <n v="3"/>
    <n v="7"/>
    <n v="825.09"/>
    <n v="2.5099999999999998"/>
    <n v="822.58"/>
  </r>
  <r>
    <s v="8362DE91"/>
    <x v="796"/>
    <x v="3"/>
    <s v="CUST4708"/>
    <s v="Ravi Smith"/>
    <s v="Canada"/>
    <x v="1"/>
    <x v="0"/>
    <x v="8"/>
    <n v="484"/>
    <n v="24.68"/>
    <n v="2.2999999999999998"/>
    <x v="412"/>
    <n v="3"/>
    <n v="11"/>
    <n v="481.79999999999995"/>
    <n v="6.93"/>
    <n v="474.87"/>
  </r>
  <r>
    <s v="E30AA939"/>
    <x v="17"/>
    <x v="2"/>
    <s v="CUST5581"/>
    <s v="Ravi Khan"/>
    <s v="Indonesia"/>
    <x v="5"/>
    <x v="4"/>
    <x v="14"/>
    <n v="3320"/>
    <n v="37.42"/>
    <n v="4.4000000000000004"/>
    <x v="809"/>
    <n v="3"/>
    <n v="18"/>
    <n v="699.84"/>
    <n v="7.1"/>
    <n v="692.74"/>
  </r>
  <r>
    <s v="8865CF19"/>
    <x v="797"/>
    <x v="6"/>
    <s v="CUST9248"/>
    <s v="Ahmed Singh"/>
    <s v="Canada"/>
    <x v="4"/>
    <x v="4"/>
    <x v="3"/>
    <n v="4809"/>
    <n v="7.57"/>
    <n v="2.6"/>
    <x v="810"/>
    <n v="5"/>
    <n v="16"/>
    <n v="1977.6"/>
    <n v="1.31"/>
    <n v="1976.29"/>
  </r>
  <r>
    <s v="9CBF8EBA"/>
    <x v="688"/>
    <x v="2"/>
    <s v="CUST1138"/>
    <s v="John Patel"/>
    <s v="Philippines"/>
    <x v="1"/>
    <x v="2"/>
    <x v="4"/>
    <n v="894"/>
    <n v="14.1"/>
    <n v="1.7"/>
    <x v="295"/>
    <n v="4"/>
    <n v="6"/>
    <n v="147.60000000000002"/>
    <n v="9.44"/>
    <n v="138.16"/>
  </r>
  <r>
    <s v="15AC33BF"/>
    <x v="798"/>
    <x v="1"/>
    <s v="CUST4559"/>
    <s v="Ravi Taylor"/>
    <s v="India"/>
    <x v="4"/>
    <x v="1"/>
    <x v="1"/>
    <n v="4101"/>
    <n v="40.64"/>
    <n v="4"/>
    <x v="811"/>
    <n v="2"/>
    <n v="7"/>
    <n v="230.01999999999998"/>
    <n v="0.6"/>
    <n v="229.42"/>
  </r>
  <r>
    <s v="055D4F61"/>
    <x v="799"/>
    <x v="9"/>
    <s v="CUST8506"/>
    <s v="Anita Taylor"/>
    <s v="Philippines"/>
    <x v="4"/>
    <x v="2"/>
    <x v="4"/>
    <n v="1680"/>
    <n v="16.489999999999998"/>
    <n v="1.1000000000000001"/>
    <x v="622"/>
    <n v="3"/>
    <n v="8"/>
    <n v="189.84"/>
    <n v="6.04"/>
    <n v="183.8"/>
  </r>
  <r>
    <s v="2ED1C67B"/>
    <x v="800"/>
    <x v="4"/>
    <s v="CUST3281"/>
    <s v="Priya Garcia"/>
    <s v="Brazil"/>
    <x v="0"/>
    <x v="2"/>
    <x v="3"/>
    <n v="3600"/>
    <n v="13.68"/>
    <n v="1.9"/>
    <x v="812"/>
    <n v="2"/>
    <n v="9"/>
    <n v="410.76"/>
    <n v="7.93"/>
    <n v="402.83"/>
  </r>
  <r>
    <s v="C29E6BB0"/>
    <x v="801"/>
    <x v="6"/>
    <s v="CUST9582"/>
    <s v="Anita Sharma"/>
    <s v="Singapore"/>
    <x v="7"/>
    <x v="3"/>
    <x v="4"/>
    <n v="789"/>
    <n v="39.64"/>
    <n v="2.8"/>
    <x v="315"/>
    <n v="4"/>
    <n v="10"/>
    <n v="971.2"/>
    <n v="2.38"/>
    <n v="968.82"/>
  </r>
  <r>
    <s v="243C1229"/>
    <x v="802"/>
    <x v="7"/>
    <s v="CUST2133"/>
    <s v="Kumar Taylor"/>
    <s v="Singapore"/>
    <x v="8"/>
    <x v="4"/>
    <x v="12"/>
    <n v="3895"/>
    <n v="41.17"/>
    <n v="2.2000000000000002"/>
    <x v="813"/>
    <n v="5"/>
    <n v="17"/>
    <n v="1248.6500000000001"/>
    <n v="0.99"/>
    <n v="1247.6600000000001"/>
  </r>
  <r>
    <s v="A099B1AB"/>
    <x v="803"/>
    <x v="9"/>
    <s v="CUST5737"/>
    <s v="Sara Garcia"/>
    <s v="New Zealand"/>
    <x v="1"/>
    <x v="2"/>
    <x v="4"/>
    <n v="567"/>
    <n v="29.01"/>
    <n v="3.8"/>
    <x v="814"/>
    <n v="2"/>
    <n v="11"/>
    <n v="620.4"/>
    <n v="6.44"/>
    <n v="613.96"/>
  </r>
  <r>
    <s v="F212125F"/>
    <x v="560"/>
    <x v="4"/>
    <s v="CUST4271"/>
    <s v="Ahmed Patel"/>
    <s v="Philippines"/>
    <x v="3"/>
    <x v="3"/>
    <x v="14"/>
    <n v="883"/>
    <n v="18.47"/>
    <n v="3.1"/>
    <x v="815"/>
    <n v="3"/>
    <n v="9"/>
    <n v="969.03"/>
    <n v="1.83"/>
    <n v="967.2"/>
  </r>
  <r>
    <s v="EC7352B5"/>
    <x v="804"/>
    <x v="7"/>
    <s v="CUST2672"/>
    <s v="Ahmed Das"/>
    <s v="New Zealand"/>
    <x v="2"/>
    <x v="1"/>
    <x v="9"/>
    <n v="2996"/>
    <n v="19.45"/>
    <n v="3.7"/>
    <x v="816"/>
    <n v="1"/>
    <n v="8"/>
    <n v="245.2"/>
    <n v="5.08"/>
    <n v="240.12"/>
  </r>
  <r>
    <s v="E100DA76"/>
    <x v="805"/>
    <x v="2"/>
    <s v="CUST7157"/>
    <s v="Priya Khan"/>
    <s v="Indonesia"/>
    <x v="0"/>
    <x v="4"/>
    <x v="12"/>
    <n v="1293"/>
    <n v="48.15"/>
    <n v="4.5"/>
    <x v="817"/>
    <n v="5"/>
    <n v="2"/>
    <n v="327.9"/>
    <n v="2.5299999999999998"/>
    <n v="325.37"/>
  </r>
  <r>
    <s v="5526FCDB"/>
    <x v="806"/>
    <x v="8"/>
    <s v="CUST9190"/>
    <s v="David Taylor"/>
    <s v="South Africa"/>
    <x v="2"/>
    <x v="4"/>
    <x v="1"/>
    <n v="4924"/>
    <n v="19.940000000000001"/>
    <n v="2.5"/>
    <x v="818"/>
    <n v="1"/>
    <n v="10"/>
    <n v="132.5"/>
    <n v="7.53"/>
    <n v="124.97"/>
  </r>
  <r>
    <s v="40080487"/>
    <x v="807"/>
    <x v="3"/>
    <s v="CUST3007"/>
    <s v="David Singh"/>
    <s v="Qatar"/>
    <x v="5"/>
    <x v="2"/>
    <x v="3"/>
    <n v="4551"/>
    <n v="40.98"/>
    <n v="4.4000000000000004"/>
    <x v="819"/>
    <n v="2"/>
    <n v="14"/>
    <n v="480.19999999999993"/>
    <n v="2"/>
    <n v="478.2"/>
  </r>
  <r>
    <s v="DBECD650"/>
    <x v="808"/>
    <x v="5"/>
    <s v="CUST1406"/>
    <s v="Ravi Sharma"/>
    <s v="Qatar"/>
    <x v="6"/>
    <x v="0"/>
    <x v="1"/>
    <n v="816"/>
    <n v="23.03"/>
    <n v="4"/>
    <x v="820"/>
    <n v="2"/>
    <n v="5"/>
    <n v="143.5"/>
    <n v="4.9400000000000004"/>
    <n v="138.56"/>
  </r>
  <r>
    <s v="4BDF1222"/>
    <x v="809"/>
    <x v="3"/>
    <s v="CUST6896"/>
    <s v="Kumar Taylor"/>
    <s v="Indonesia"/>
    <x v="0"/>
    <x v="3"/>
    <x v="13"/>
    <n v="2866"/>
    <n v="6.1"/>
    <n v="4.9000000000000004"/>
    <x v="482"/>
    <n v="5"/>
    <n v="7"/>
    <n v="1208.55"/>
    <n v="1.24"/>
    <n v="1207.31"/>
  </r>
  <r>
    <s v="51551E3A"/>
    <x v="810"/>
    <x v="5"/>
    <s v="CUST8409"/>
    <s v="Sara Patel"/>
    <s v="Australia"/>
    <x v="7"/>
    <x v="2"/>
    <x v="13"/>
    <n v="854"/>
    <n v="24.49"/>
    <n v="4.5999999999999996"/>
    <x v="469"/>
    <n v="5"/>
    <n v="8"/>
    <n v="564"/>
    <n v="7"/>
    <n v="557"/>
  </r>
  <r>
    <s v="B25E2A4F"/>
    <x v="811"/>
    <x v="2"/>
    <s v="CUST5025"/>
    <s v="Anita Singh"/>
    <s v="Australia"/>
    <x v="1"/>
    <x v="3"/>
    <x v="0"/>
    <n v="1909"/>
    <n v="41.6"/>
    <n v="3.7"/>
    <x v="40"/>
    <n v="1"/>
    <n v="18"/>
    <n v="159.47999999999999"/>
    <n v="7.33"/>
    <n v="152.15"/>
  </r>
  <r>
    <s v="8F579A17"/>
    <x v="812"/>
    <x v="5"/>
    <s v="CUST4225"/>
    <s v="Ravi Garcia"/>
    <s v="Brazil"/>
    <x v="7"/>
    <x v="0"/>
    <x v="3"/>
    <n v="1050"/>
    <n v="31.78"/>
    <n v="4.2"/>
    <x v="254"/>
    <n v="1"/>
    <n v="17"/>
    <n v="383.35"/>
    <n v="1.52"/>
    <n v="381.83"/>
  </r>
  <r>
    <s v="0CCDAFE1"/>
    <x v="573"/>
    <x v="2"/>
    <s v="CUST4066"/>
    <s v="Ahmed Lee"/>
    <s v="Qatar"/>
    <x v="7"/>
    <x v="2"/>
    <x v="11"/>
    <n v="2629"/>
    <n v="34.770000000000003"/>
    <n v="3.3"/>
    <x v="821"/>
    <n v="3"/>
    <n v="3"/>
    <n v="147.24"/>
    <n v="5.28"/>
    <n v="141.96"/>
  </r>
  <r>
    <s v="656A35D7"/>
    <x v="813"/>
    <x v="8"/>
    <s v="CUST1381"/>
    <s v="Priya Patel"/>
    <s v="Qatar"/>
    <x v="4"/>
    <x v="2"/>
    <x v="0"/>
    <n v="777"/>
    <n v="23.93"/>
    <n v="2.1"/>
    <x v="822"/>
    <n v="2"/>
    <n v="1"/>
    <n v="70.5"/>
    <n v="1.78"/>
    <n v="68.72"/>
  </r>
  <r>
    <s v="770F979E"/>
    <x v="814"/>
    <x v="8"/>
    <s v="CUST1871"/>
    <s v="Ahmed Smith"/>
    <s v="South Africa"/>
    <x v="7"/>
    <x v="3"/>
    <x v="8"/>
    <n v="2946"/>
    <n v="37.78"/>
    <n v="4"/>
    <x v="823"/>
    <n v="3"/>
    <n v="10"/>
    <n v="419.4"/>
    <n v="9.76"/>
    <n v="409.64"/>
  </r>
  <r>
    <s v="E7F65B56"/>
    <x v="449"/>
    <x v="2"/>
    <s v="CUST4004"/>
    <s v="Kumar Lee"/>
    <s v="Australia"/>
    <x v="1"/>
    <x v="4"/>
    <x v="7"/>
    <n v="2989"/>
    <n v="36.22"/>
    <n v="2.8"/>
    <x v="824"/>
    <n v="5"/>
    <n v="10"/>
    <n v="1261.5"/>
    <n v="4.28"/>
    <n v="1257.22"/>
  </r>
  <r>
    <s v="08D960DA"/>
    <x v="815"/>
    <x v="8"/>
    <s v="CUST2037"/>
    <s v="Sara Das"/>
    <s v="Philippines"/>
    <x v="3"/>
    <x v="0"/>
    <x v="7"/>
    <n v="4501"/>
    <n v="39.81"/>
    <n v="1.7"/>
    <x v="825"/>
    <n v="4"/>
    <n v="11"/>
    <n v="889.68"/>
    <n v="8.93"/>
    <n v="880.75"/>
  </r>
  <r>
    <s v="0FECA1AA"/>
    <x v="467"/>
    <x v="7"/>
    <s v="CUST1739"/>
    <s v="Priya Patel"/>
    <s v="Philippines"/>
    <x v="7"/>
    <x v="4"/>
    <x v="7"/>
    <n v="2981"/>
    <n v="36.119999999999997"/>
    <n v="4.9000000000000004"/>
    <x v="826"/>
    <n v="1"/>
    <n v="8"/>
    <n v="301.60000000000002"/>
    <n v="4.76"/>
    <n v="296.83999999999997"/>
  </r>
  <r>
    <s v="F18FB683"/>
    <x v="816"/>
    <x v="6"/>
    <s v="CUST3665"/>
    <s v="Emily Khan"/>
    <s v="South Africa"/>
    <x v="6"/>
    <x v="3"/>
    <x v="8"/>
    <n v="773"/>
    <n v="17.18"/>
    <n v="3.4"/>
    <x v="827"/>
    <n v="2"/>
    <n v="1"/>
    <n v="16.8"/>
    <n v="2.83"/>
    <n v="13.97"/>
  </r>
  <r>
    <s v="CA9D127C"/>
    <x v="817"/>
    <x v="9"/>
    <s v="CUST6672"/>
    <s v="John Khan"/>
    <s v="Qatar"/>
    <x v="5"/>
    <x v="3"/>
    <x v="6"/>
    <n v="3454"/>
    <n v="43.32"/>
    <n v="4.2"/>
    <x v="828"/>
    <n v="1"/>
    <n v="19"/>
    <n v="709.08"/>
    <n v="7.33"/>
    <n v="701.75"/>
  </r>
  <r>
    <s v="F7714257"/>
    <x v="818"/>
    <x v="0"/>
    <s v="CUST5236"/>
    <s v="Ahmed Sharma"/>
    <s v="Qatar"/>
    <x v="7"/>
    <x v="3"/>
    <x v="3"/>
    <n v="4727"/>
    <n v="19.850000000000001"/>
    <n v="2.5"/>
    <x v="829"/>
    <n v="2"/>
    <n v="5"/>
    <n v="280.5"/>
    <n v="5.66"/>
    <n v="274.83999999999997"/>
  </r>
  <r>
    <s v="E6C23ED3"/>
    <x v="633"/>
    <x v="7"/>
    <s v="CUST7063"/>
    <s v="Priya Khan"/>
    <s v="Canada"/>
    <x v="3"/>
    <x v="4"/>
    <x v="14"/>
    <n v="1691"/>
    <n v="16.62"/>
    <n v="4.8"/>
    <x v="830"/>
    <n v="2"/>
    <n v="3"/>
    <n v="150.72"/>
    <n v="5.37"/>
    <n v="145.35"/>
  </r>
  <r>
    <s v="0D42F5B8"/>
    <x v="819"/>
    <x v="1"/>
    <s v="CUST1757"/>
    <s v="Ravi Patel"/>
    <s v="Indonesia"/>
    <x v="0"/>
    <x v="4"/>
    <x v="0"/>
    <n v="4634"/>
    <n v="38.42"/>
    <n v="1.3"/>
    <x v="831"/>
    <n v="4"/>
    <n v="8"/>
    <n v="373.44"/>
    <n v="2.38"/>
    <n v="371.06"/>
  </r>
  <r>
    <s v="2E9F60F9"/>
    <x v="820"/>
    <x v="3"/>
    <s v="CUST9009"/>
    <s v="Sophia Das"/>
    <s v="Brazil"/>
    <x v="4"/>
    <x v="2"/>
    <x v="6"/>
    <n v="2276"/>
    <n v="31.15"/>
    <n v="3.9"/>
    <x v="832"/>
    <n v="1"/>
    <n v="12"/>
    <n v="114.12"/>
    <n v="1.9"/>
    <n v="112.22"/>
  </r>
  <r>
    <s v="2A3917A8"/>
    <x v="821"/>
    <x v="1"/>
    <s v="CUST5534"/>
    <s v="Kumar Lee"/>
    <s v="Qatar"/>
    <x v="8"/>
    <x v="4"/>
    <x v="12"/>
    <n v="2242"/>
    <n v="37.69"/>
    <n v="1.4"/>
    <x v="833"/>
    <n v="3"/>
    <n v="2"/>
    <n v="190.5"/>
    <n v="5.41"/>
    <n v="185.09"/>
  </r>
  <r>
    <s v="E9D14957"/>
    <x v="822"/>
    <x v="7"/>
    <s v="CUST3799"/>
    <s v="David Lee"/>
    <s v="Qatar"/>
    <x v="1"/>
    <x v="3"/>
    <x v="3"/>
    <n v="1073"/>
    <n v="37.869999999999997"/>
    <n v="4"/>
    <x v="834"/>
    <n v="5"/>
    <n v="16"/>
    <n v="848"/>
    <n v="7.22"/>
    <n v="840.78"/>
  </r>
  <r>
    <s v="AF6B2B2C"/>
    <x v="823"/>
    <x v="7"/>
    <s v="CUST3424"/>
    <s v="Sophia Sharma"/>
    <s v="South Africa"/>
    <x v="8"/>
    <x v="1"/>
    <x v="9"/>
    <n v="4902"/>
    <n v="43.64"/>
    <n v="4.4000000000000004"/>
    <x v="835"/>
    <n v="2"/>
    <n v="14"/>
    <n v="999.88"/>
    <n v="7.74"/>
    <n v="992.14"/>
  </r>
  <r>
    <s v="70BCA647"/>
    <x v="824"/>
    <x v="0"/>
    <s v="CUST2249"/>
    <s v="Ahmed Smith"/>
    <s v="Qatar"/>
    <x v="1"/>
    <x v="4"/>
    <x v="13"/>
    <n v="3217"/>
    <n v="44.54"/>
    <n v="3"/>
    <x v="836"/>
    <n v="2"/>
    <n v="15"/>
    <n v="1072.2"/>
    <n v="2.15"/>
    <n v="1070.05"/>
  </r>
  <r>
    <s v="B01A249D"/>
    <x v="825"/>
    <x v="8"/>
    <s v="CUST1058"/>
    <s v="Kumar Brown"/>
    <s v="Canada"/>
    <x v="7"/>
    <x v="3"/>
    <x v="11"/>
    <n v="2982"/>
    <n v="13.46"/>
    <n v="3.1"/>
    <x v="837"/>
    <n v="1"/>
    <n v="11"/>
    <n v="332.09000000000003"/>
    <n v="3.48"/>
    <n v="328.61"/>
  </r>
  <r>
    <s v="29FA88C3"/>
    <x v="826"/>
    <x v="0"/>
    <s v="CUST4628"/>
    <s v="Sara Sharma"/>
    <s v="Australia"/>
    <x v="6"/>
    <x v="0"/>
    <x v="4"/>
    <n v="844"/>
    <n v="9.9600000000000009"/>
    <n v="4.8"/>
    <x v="838"/>
    <n v="3"/>
    <n v="2"/>
    <n v="88.02"/>
    <n v="0.64"/>
    <n v="87.38"/>
  </r>
  <r>
    <s v="5619704E"/>
    <x v="65"/>
    <x v="6"/>
    <s v="CUST1407"/>
    <s v="John Das"/>
    <s v="Philippines"/>
    <x v="5"/>
    <x v="4"/>
    <x v="9"/>
    <n v="1785"/>
    <n v="30.71"/>
    <n v="3.7"/>
    <x v="839"/>
    <n v="3"/>
    <n v="11"/>
    <n v="749.09999999999991"/>
    <n v="9.5299999999999994"/>
    <n v="739.57"/>
  </r>
  <r>
    <s v="B5E91ED4"/>
    <x v="827"/>
    <x v="9"/>
    <s v="CUST9836"/>
    <s v="Ahmed Patel"/>
    <s v="Philippines"/>
    <x v="5"/>
    <x v="4"/>
    <x v="6"/>
    <n v="383"/>
    <n v="23.5"/>
    <n v="3.9"/>
    <x v="710"/>
    <n v="5"/>
    <n v="5"/>
    <n v="457.5"/>
    <n v="4.5199999999999996"/>
    <n v="452.98"/>
  </r>
  <r>
    <s v="1E6B13CE"/>
    <x v="828"/>
    <x v="2"/>
    <s v="CUST4039"/>
    <s v="Emily Brown"/>
    <s v="Australia"/>
    <x v="2"/>
    <x v="2"/>
    <x v="3"/>
    <n v="3858"/>
    <n v="49.66"/>
    <n v="4.8"/>
    <x v="602"/>
    <n v="3"/>
    <n v="16"/>
    <n v="441.59999999999997"/>
    <n v="6.59"/>
    <n v="435.01"/>
  </r>
  <r>
    <s v="7E7BB711"/>
    <x v="829"/>
    <x v="8"/>
    <s v="CUST4580"/>
    <s v="David Garcia"/>
    <s v="Philippines"/>
    <x v="4"/>
    <x v="2"/>
    <x v="12"/>
    <n v="1110"/>
    <n v="34.24"/>
    <n v="4.5"/>
    <x v="840"/>
    <n v="1"/>
    <n v="12"/>
    <n v="404.04"/>
    <n v="6.07"/>
    <n v="397.97"/>
  </r>
  <r>
    <s v="ED0564FF"/>
    <x v="830"/>
    <x v="8"/>
    <s v="CUST7542"/>
    <s v="Anita Garcia"/>
    <s v="India"/>
    <x v="6"/>
    <x v="4"/>
    <x v="2"/>
    <n v="76"/>
    <n v="20.05"/>
    <n v="4"/>
    <x v="841"/>
    <n v="2"/>
    <n v="19"/>
    <n v="1242.98"/>
    <n v="1.2"/>
    <n v="1241.78"/>
  </r>
  <r>
    <s v="FA486623"/>
    <x v="831"/>
    <x v="8"/>
    <s v="CUST9743"/>
    <s v="Ravi Brown"/>
    <s v="Australia"/>
    <x v="0"/>
    <x v="4"/>
    <x v="12"/>
    <n v="2265"/>
    <n v="46.15"/>
    <n v="1.9"/>
    <x v="842"/>
    <n v="2"/>
    <n v="10"/>
    <n v="339"/>
    <n v="2.21"/>
    <n v="336.79"/>
  </r>
  <r>
    <s v="E62D3C7F"/>
    <x v="832"/>
    <x v="5"/>
    <s v="CUST8238"/>
    <s v="David Lee"/>
    <s v="South Africa"/>
    <x v="1"/>
    <x v="4"/>
    <x v="7"/>
    <n v="3703"/>
    <n v="25.88"/>
    <n v="3"/>
    <x v="843"/>
    <n v="1"/>
    <n v="13"/>
    <n v="434.46000000000004"/>
    <n v="7.15"/>
    <n v="427.31"/>
  </r>
  <r>
    <s v="3F6A333A"/>
    <x v="334"/>
    <x v="5"/>
    <s v="CUST6625"/>
    <s v="Emily Smith"/>
    <s v="Canada"/>
    <x v="5"/>
    <x v="1"/>
    <x v="6"/>
    <n v="1749"/>
    <n v="10.99"/>
    <n v="4.9000000000000004"/>
    <x v="844"/>
    <n v="2"/>
    <n v="16"/>
    <n v="403.52"/>
    <n v="3.33"/>
    <n v="400.19"/>
  </r>
  <r>
    <s v="FDB3F695"/>
    <x v="833"/>
    <x v="6"/>
    <s v="CUST5185"/>
    <s v="John Lee"/>
    <s v="South Africa"/>
    <x v="3"/>
    <x v="3"/>
    <x v="12"/>
    <n v="1124"/>
    <n v="29.13"/>
    <n v="4.4000000000000004"/>
    <x v="311"/>
    <n v="3"/>
    <n v="2"/>
    <n v="209.39999999999998"/>
    <n v="4.3099999999999996"/>
    <n v="205.09"/>
  </r>
  <r>
    <s v="E7CDD032"/>
    <x v="834"/>
    <x v="8"/>
    <s v="CUST9980"/>
    <s v="John Khan"/>
    <s v="New Zealand"/>
    <x v="3"/>
    <x v="2"/>
    <x v="8"/>
    <n v="4509"/>
    <n v="45.71"/>
    <n v="4.7"/>
    <x v="845"/>
    <n v="5"/>
    <n v="17"/>
    <n v="1132.1999999999998"/>
    <n v="9.91"/>
    <n v="1122.29"/>
  </r>
  <r>
    <s v="0C05C41A"/>
    <x v="819"/>
    <x v="5"/>
    <s v="CUST2634"/>
    <s v="John Smith"/>
    <s v="Indonesia"/>
    <x v="0"/>
    <x v="0"/>
    <x v="10"/>
    <n v="1073"/>
    <n v="17.18"/>
    <n v="2.7"/>
    <x v="846"/>
    <n v="2"/>
    <n v="1"/>
    <n v="15.88"/>
    <n v="4.55"/>
    <n v="11.33"/>
  </r>
  <r>
    <s v="18A23A8C"/>
    <x v="835"/>
    <x v="0"/>
    <s v="CUST3847"/>
    <s v="Sara Garcia"/>
    <s v="Qatar"/>
    <x v="7"/>
    <x v="4"/>
    <x v="11"/>
    <n v="1820"/>
    <n v="32.76"/>
    <n v="2.1"/>
    <x v="847"/>
    <n v="4"/>
    <n v="19"/>
    <n v="980.4"/>
    <n v="5.9"/>
    <n v="974.5"/>
  </r>
  <r>
    <s v="47E4D4F8"/>
    <x v="836"/>
    <x v="7"/>
    <s v="CUST2717"/>
    <s v="David Taylor"/>
    <s v="New Zealand"/>
    <x v="4"/>
    <x v="0"/>
    <x v="10"/>
    <n v="2581"/>
    <n v="18.98"/>
    <n v="3.8"/>
    <x v="539"/>
    <n v="2"/>
    <n v="4"/>
    <n v="138.32"/>
    <n v="4.34"/>
    <n v="133.97999999999999"/>
  </r>
  <r>
    <s v="D0AF89C4"/>
    <x v="603"/>
    <x v="6"/>
    <s v="CUST3214"/>
    <s v="David Singh"/>
    <s v="Singapore"/>
    <x v="2"/>
    <x v="2"/>
    <x v="14"/>
    <n v="1782"/>
    <n v="6.21"/>
    <n v="4.5999999999999996"/>
    <x v="848"/>
    <n v="4"/>
    <n v="13"/>
    <n v="1921.4"/>
    <n v="8.75"/>
    <n v="1912.65"/>
  </r>
  <r>
    <s v="233522A3"/>
    <x v="837"/>
    <x v="7"/>
    <s v="CUST2992"/>
    <s v="Emily Patel"/>
    <s v="New Zealand"/>
    <x v="8"/>
    <x v="3"/>
    <x v="10"/>
    <n v="4940"/>
    <n v="42.53"/>
    <n v="3.8"/>
    <x v="849"/>
    <n v="5"/>
    <n v="12"/>
    <n v="454.79999999999995"/>
    <n v="2.5299999999999998"/>
    <n v="452.27"/>
  </r>
  <r>
    <s v="490162CE"/>
    <x v="348"/>
    <x v="4"/>
    <s v="CUST2508"/>
    <s v="Sophia Singh"/>
    <s v="South Africa"/>
    <x v="8"/>
    <x v="0"/>
    <x v="8"/>
    <n v="1475"/>
    <n v="31.04"/>
    <n v="4.8"/>
    <x v="850"/>
    <n v="1"/>
    <n v="20"/>
    <n v="504"/>
    <n v="2.1800000000000002"/>
    <n v="501.82"/>
  </r>
  <r>
    <s v="5D7F07B2"/>
    <x v="198"/>
    <x v="2"/>
    <s v="CUST9893"/>
    <s v="David Das"/>
    <s v="Canada"/>
    <x v="7"/>
    <x v="0"/>
    <x v="4"/>
    <n v="2816"/>
    <n v="20.89"/>
    <n v="4.2"/>
    <x v="851"/>
    <n v="5"/>
    <n v="19"/>
    <n v="1260.6499999999999"/>
    <n v="9.49"/>
    <n v="1251.1600000000001"/>
  </r>
  <r>
    <s v="98E9D0DC"/>
    <x v="838"/>
    <x v="6"/>
    <s v="CUST8017"/>
    <s v="Ahmed Taylor"/>
    <s v="Philippines"/>
    <x v="7"/>
    <x v="1"/>
    <x v="2"/>
    <n v="4205"/>
    <n v="28.76"/>
    <n v="1.2"/>
    <x v="852"/>
    <n v="5"/>
    <n v="19"/>
    <n v="2513.7000000000003"/>
    <n v="3.32"/>
    <n v="2510.38"/>
  </r>
  <r>
    <s v="5BA20105"/>
    <x v="839"/>
    <x v="2"/>
    <s v="CUST8712"/>
    <s v="Sophia Brown"/>
    <s v="New Zealand"/>
    <x v="0"/>
    <x v="1"/>
    <x v="11"/>
    <n v="3801"/>
    <n v="26.26"/>
    <n v="3.3"/>
    <x v="810"/>
    <n v="2"/>
    <n v="5"/>
    <n v="247.2"/>
    <n v="8.77"/>
    <n v="238.43"/>
  </r>
  <r>
    <s v="80A4CCE4"/>
    <x v="840"/>
    <x v="9"/>
    <s v="CUST8667"/>
    <s v="David Taylor"/>
    <s v="Singapore"/>
    <x v="3"/>
    <x v="3"/>
    <x v="5"/>
    <n v="4716"/>
    <n v="49.65"/>
    <n v="3.3"/>
    <x v="260"/>
    <n v="4"/>
    <n v="16"/>
    <n v="1964.8"/>
    <n v="9.2100000000000009"/>
    <n v="1955.59"/>
  </r>
  <r>
    <s v="E7DF3D6C"/>
    <x v="90"/>
    <x v="6"/>
    <s v="CUST4512"/>
    <s v="Sara Taylor"/>
    <s v="Qatar"/>
    <x v="3"/>
    <x v="2"/>
    <x v="7"/>
    <n v="1416"/>
    <n v="16.2"/>
    <n v="1.8"/>
    <x v="853"/>
    <n v="4"/>
    <n v="11"/>
    <n v="919.59999999999991"/>
    <n v="1.89"/>
    <n v="917.71"/>
  </r>
  <r>
    <s v="91C1DFE7"/>
    <x v="199"/>
    <x v="6"/>
    <s v="CUST5561"/>
    <s v="Sophia Khan"/>
    <s v="New Zealand"/>
    <x v="4"/>
    <x v="4"/>
    <x v="0"/>
    <n v="979"/>
    <n v="39.130000000000003"/>
    <n v="4.9000000000000004"/>
    <x v="854"/>
    <n v="3"/>
    <n v="7"/>
    <n v="252"/>
    <n v="1.29"/>
    <n v="250.71"/>
  </r>
  <r>
    <s v="6D15903F"/>
    <x v="841"/>
    <x v="3"/>
    <s v="CUST4730"/>
    <s v="Sara Lee"/>
    <s v="Brazil"/>
    <x v="0"/>
    <x v="0"/>
    <x v="8"/>
    <n v="960"/>
    <n v="35.380000000000003"/>
    <n v="2.6"/>
    <x v="855"/>
    <n v="2"/>
    <n v="18"/>
    <n v="270.36"/>
    <n v="0.28999999999999998"/>
    <n v="270.07"/>
  </r>
  <r>
    <s v="D6A996B2"/>
    <x v="403"/>
    <x v="0"/>
    <s v="CUST2613"/>
    <s v="Sophia Patel"/>
    <s v="Philippines"/>
    <x v="7"/>
    <x v="2"/>
    <x v="3"/>
    <n v="4297"/>
    <n v="49.84"/>
    <n v="1.2"/>
    <x v="856"/>
    <n v="4"/>
    <n v="3"/>
    <n v="117"/>
    <n v="1.53"/>
    <n v="115.47"/>
  </r>
  <r>
    <s v="965A428F"/>
    <x v="842"/>
    <x v="2"/>
    <s v="CUST4191"/>
    <s v="Sophia Brown"/>
    <s v="India"/>
    <x v="4"/>
    <x v="3"/>
    <x v="12"/>
    <n v="3347"/>
    <n v="11.77"/>
    <n v="2.2999999999999998"/>
    <x v="857"/>
    <n v="2"/>
    <n v="17"/>
    <n v="596.70000000000005"/>
    <n v="3.65"/>
    <n v="593.04999999999995"/>
  </r>
  <r>
    <s v="0D40839E"/>
    <x v="667"/>
    <x v="6"/>
    <s v="CUST6591"/>
    <s v="Ahmed Singh"/>
    <s v="India"/>
    <x v="7"/>
    <x v="4"/>
    <x v="5"/>
    <n v="1149"/>
    <n v="14.35"/>
    <n v="4.5999999999999996"/>
    <x v="702"/>
    <n v="3"/>
    <n v="13"/>
    <n v="693.81"/>
    <n v="4.93"/>
    <n v="688.88"/>
  </r>
  <r>
    <s v="BF852DBD"/>
    <x v="762"/>
    <x v="6"/>
    <s v="CUST3398"/>
    <s v="David Das"/>
    <s v="Indonesia"/>
    <x v="2"/>
    <x v="0"/>
    <x v="7"/>
    <n v="3825"/>
    <n v="45.2"/>
    <n v="3.2"/>
    <x v="858"/>
    <n v="5"/>
    <n v="19"/>
    <n v="3048.55"/>
    <n v="8.92"/>
    <n v="3039.63"/>
  </r>
  <r>
    <s v="CAFB7262"/>
    <x v="843"/>
    <x v="0"/>
    <s v="CUST1442"/>
    <s v="David Garcia"/>
    <s v="Qatar"/>
    <x v="7"/>
    <x v="2"/>
    <x v="6"/>
    <n v="600"/>
    <n v="36.49"/>
    <n v="2.5"/>
    <x v="859"/>
    <n v="4"/>
    <n v="4"/>
    <n v="491.04"/>
    <n v="9.1"/>
    <n v="481.94"/>
  </r>
  <r>
    <s v="C8E6E800"/>
    <x v="708"/>
    <x v="5"/>
    <s v="CUST6429"/>
    <s v="Anita Singh"/>
    <s v="Philippines"/>
    <x v="4"/>
    <x v="3"/>
    <x v="1"/>
    <n v="3936"/>
    <n v="44.46"/>
    <n v="4.3"/>
    <x v="860"/>
    <n v="5"/>
    <n v="12"/>
    <n v="2287.8000000000002"/>
    <n v="7.28"/>
    <n v="2280.52"/>
  </r>
  <r>
    <s v="F3FDC806"/>
    <x v="235"/>
    <x v="0"/>
    <s v="CUST8899"/>
    <s v="Sophia Garcia"/>
    <s v="Philippines"/>
    <x v="8"/>
    <x v="2"/>
    <x v="11"/>
    <n v="1906"/>
    <n v="27.45"/>
    <n v="1"/>
    <x v="861"/>
    <n v="1"/>
    <n v="7"/>
    <n v="90.58"/>
    <n v="2.37"/>
    <n v="88.21"/>
  </r>
  <r>
    <s v="E168BDF0"/>
    <x v="844"/>
    <x v="6"/>
    <s v="CUST8206"/>
    <s v="Sophia Garcia"/>
    <s v="India"/>
    <x v="5"/>
    <x v="3"/>
    <x v="13"/>
    <n v="2670"/>
    <n v="21.68"/>
    <n v="1"/>
    <x v="862"/>
    <n v="5"/>
    <n v="18"/>
    <n v="3483.9"/>
    <n v="0.3"/>
    <n v="3483.6"/>
  </r>
  <r>
    <s v="5636153F"/>
    <x v="841"/>
    <x v="5"/>
    <s v="CUST4923"/>
    <s v="Anita Lee"/>
    <s v="South Africa"/>
    <x v="1"/>
    <x v="0"/>
    <x v="14"/>
    <n v="3645"/>
    <n v="36.69"/>
    <n v="4.2"/>
    <x v="863"/>
    <n v="2"/>
    <n v="14"/>
    <n v="850.07999999999993"/>
    <n v="4.83"/>
    <n v="845.25"/>
  </r>
  <r>
    <s v="7CBE55C0"/>
    <x v="46"/>
    <x v="0"/>
    <s v="CUST4060"/>
    <s v="John Sharma"/>
    <s v="New Zealand"/>
    <x v="1"/>
    <x v="4"/>
    <x v="1"/>
    <n v="3160"/>
    <n v="26.39"/>
    <n v="3.4"/>
    <x v="864"/>
    <n v="4"/>
    <n v="14"/>
    <n v="305.76"/>
    <n v="8.7799999999999994"/>
    <n v="296.98"/>
  </r>
  <r>
    <s v="7BE5DD6E"/>
    <x v="845"/>
    <x v="6"/>
    <s v="CUST6303"/>
    <s v="Ahmed Taylor"/>
    <s v="Qatar"/>
    <x v="7"/>
    <x v="1"/>
    <x v="5"/>
    <n v="3101"/>
    <n v="41.18"/>
    <n v="1.8"/>
    <x v="865"/>
    <n v="3"/>
    <n v="13"/>
    <n v="425.1"/>
    <n v="0.12"/>
    <n v="424.98"/>
  </r>
  <r>
    <s v="E40AFD26"/>
    <x v="846"/>
    <x v="8"/>
    <s v="CUST2856"/>
    <s v="Kumar Brown"/>
    <s v="Philippines"/>
    <x v="8"/>
    <x v="0"/>
    <x v="13"/>
    <n v="4831"/>
    <n v="30.18"/>
    <n v="2.6"/>
    <x v="638"/>
    <n v="2"/>
    <n v="2"/>
    <n v="53.68"/>
    <n v="7.43"/>
    <n v="46.25"/>
  </r>
  <r>
    <s v="12F0BC5C"/>
    <x v="847"/>
    <x v="3"/>
    <s v="CUST4515"/>
    <s v="Ahmed Das"/>
    <s v="South Africa"/>
    <x v="4"/>
    <x v="4"/>
    <x v="13"/>
    <n v="4831"/>
    <n v="40.4"/>
    <n v="3.8"/>
    <x v="866"/>
    <n v="2"/>
    <n v="7"/>
    <n v="216.29999999999998"/>
    <n v="1.71"/>
    <n v="214.59"/>
  </r>
  <r>
    <s v="D111140A"/>
    <x v="56"/>
    <x v="3"/>
    <s v="CUST7530"/>
    <s v="Ravi Khan"/>
    <s v="Singapore"/>
    <x v="0"/>
    <x v="1"/>
    <x v="6"/>
    <n v="1528"/>
    <n v="42.05"/>
    <n v="1.6"/>
    <x v="104"/>
    <n v="3"/>
    <n v="4"/>
    <n v="114.84"/>
    <n v="4.91"/>
    <n v="109.93"/>
  </r>
  <r>
    <s v="F08FDC59"/>
    <x v="848"/>
    <x v="8"/>
    <s v="CUST6718"/>
    <s v="Ravi Brown"/>
    <s v="Qatar"/>
    <x v="0"/>
    <x v="4"/>
    <x v="11"/>
    <n v="1716"/>
    <n v="43.23"/>
    <n v="1.4"/>
    <x v="608"/>
    <n v="5"/>
    <n v="18"/>
    <n v="650.70000000000005"/>
    <n v="8.59"/>
    <n v="642.11"/>
  </r>
  <r>
    <s v="456A12CC"/>
    <x v="849"/>
    <x v="8"/>
    <s v="CUST8406"/>
    <s v="David Taylor"/>
    <s v="Canada"/>
    <x v="3"/>
    <x v="1"/>
    <x v="9"/>
    <n v="4771"/>
    <n v="32.090000000000003"/>
    <n v="2.6"/>
    <x v="867"/>
    <n v="1"/>
    <n v="10"/>
    <n v="248.79999999999998"/>
    <n v="4.47"/>
    <n v="244.33"/>
  </r>
  <r>
    <s v="91958311"/>
    <x v="850"/>
    <x v="0"/>
    <s v="CUST1457"/>
    <s v="Emily Brown"/>
    <s v="India"/>
    <x v="3"/>
    <x v="0"/>
    <x v="1"/>
    <n v="2364"/>
    <n v="20.32"/>
    <n v="2.1"/>
    <x v="437"/>
    <n v="3"/>
    <n v="16"/>
    <n v="429.59999999999997"/>
    <n v="7.44"/>
    <n v="422.16"/>
  </r>
  <r>
    <s v="F7A0B409"/>
    <x v="851"/>
    <x v="1"/>
    <s v="CUST4196"/>
    <s v="John Das"/>
    <s v="India"/>
    <x v="4"/>
    <x v="0"/>
    <x v="7"/>
    <n v="4300"/>
    <n v="11.19"/>
    <n v="4.0999999999999996"/>
    <x v="868"/>
    <n v="2"/>
    <n v="3"/>
    <n v="174.06"/>
    <n v="2.21"/>
    <n v="171.85"/>
  </r>
</pivotCacheRecords>
</file>

<file path=xl/pivotCache/pivotCacheRecords2.xml><?xml version="1.0" encoding="utf-8"?>
<pivotCacheRecords xmlns="http://schemas.openxmlformats.org/spreadsheetml/2006/main" xmlns:r="http://schemas.openxmlformats.org/officeDocument/2006/relationships" count="1001">
  <r>
    <x v="0"/>
  </r>
  <r>
    <x v="1"/>
  </r>
  <r>
    <x v="2"/>
  </r>
  <r>
    <x v="1"/>
  </r>
  <r>
    <x v="3"/>
  </r>
  <r>
    <x v="3"/>
  </r>
  <r>
    <x v="4"/>
  </r>
  <r>
    <x v="1"/>
  </r>
  <r>
    <x v="1"/>
  </r>
  <r>
    <x v="5"/>
  </r>
  <r>
    <x v="6"/>
  </r>
  <r>
    <x v="7"/>
  </r>
  <r>
    <x v="5"/>
  </r>
  <r>
    <x v="8"/>
  </r>
  <r>
    <x v="2"/>
  </r>
  <r>
    <x v="0"/>
  </r>
  <r>
    <x v="7"/>
  </r>
  <r>
    <x v="7"/>
  </r>
  <r>
    <x v="2"/>
  </r>
  <r>
    <x v="2"/>
  </r>
  <r>
    <x v="1"/>
  </r>
  <r>
    <x v="8"/>
  </r>
  <r>
    <x v="0"/>
  </r>
  <r>
    <x v="8"/>
  </r>
  <r>
    <x v="4"/>
  </r>
  <r>
    <x v="2"/>
  </r>
  <r>
    <x v="0"/>
  </r>
  <r>
    <x v="2"/>
  </r>
  <r>
    <x v="4"/>
  </r>
  <r>
    <x v="4"/>
  </r>
  <r>
    <x v="8"/>
  </r>
  <r>
    <x v="0"/>
  </r>
  <r>
    <x v="2"/>
  </r>
  <r>
    <x v="0"/>
  </r>
  <r>
    <x v="1"/>
  </r>
  <r>
    <x v="0"/>
  </r>
  <r>
    <x v="3"/>
  </r>
  <r>
    <x v="2"/>
  </r>
  <r>
    <x v="4"/>
  </r>
  <r>
    <x v="4"/>
  </r>
  <r>
    <x v="0"/>
  </r>
  <r>
    <x v="8"/>
  </r>
  <r>
    <x v="7"/>
  </r>
  <r>
    <x v="9"/>
  </r>
  <r>
    <x v="5"/>
  </r>
  <r>
    <x v="6"/>
  </r>
  <r>
    <x v="6"/>
  </r>
  <r>
    <x v="6"/>
  </r>
  <r>
    <x v="9"/>
  </r>
  <r>
    <x v="7"/>
  </r>
  <r>
    <x v="3"/>
  </r>
  <r>
    <x v="1"/>
  </r>
  <r>
    <x v="5"/>
  </r>
  <r>
    <x v="0"/>
  </r>
  <r>
    <x v="9"/>
  </r>
  <r>
    <x v="5"/>
  </r>
  <r>
    <x v="5"/>
  </r>
  <r>
    <x v="3"/>
  </r>
  <r>
    <x v="0"/>
  </r>
  <r>
    <x v="8"/>
  </r>
  <r>
    <x v="7"/>
  </r>
  <r>
    <x v="2"/>
  </r>
  <r>
    <x v="7"/>
  </r>
  <r>
    <x v="6"/>
  </r>
  <r>
    <x v="0"/>
  </r>
  <r>
    <x v="2"/>
  </r>
  <r>
    <x v="7"/>
  </r>
  <r>
    <x v="7"/>
  </r>
  <r>
    <x v="0"/>
  </r>
  <r>
    <x v="3"/>
  </r>
  <r>
    <x v="8"/>
  </r>
  <r>
    <x v="8"/>
  </r>
  <r>
    <x v="2"/>
  </r>
  <r>
    <x v="1"/>
  </r>
  <r>
    <x v="0"/>
  </r>
  <r>
    <x v="8"/>
  </r>
  <r>
    <x v="3"/>
  </r>
  <r>
    <x v="0"/>
  </r>
  <r>
    <x v="0"/>
  </r>
  <r>
    <x v="6"/>
  </r>
  <r>
    <x v="8"/>
  </r>
  <r>
    <x v="0"/>
  </r>
  <r>
    <x v="9"/>
  </r>
  <r>
    <x v="2"/>
  </r>
  <r>
    <x v="6"/>
  </r>
  <r>
    <x v="4"/>
  </r>
  <r>
    <x v="5"/>
  </r>
  <r>
    <x v="3"/>
  </r>
  <r>
    <x v="9"/>
  </r>
  <r>
    <x v="8"/>
  </r>
  <r>
    <x v="8"/>
  </r>
  <r>
    <x v="3"/>
  </r>
  <r>
    <x v="6"/>
  </r>
  <r>
    <x v="2"/>
  </r>
  <r>
    <x v="4"/>
  </r>
  <r>
    <x v="0"/>
  </r>
  <r>
    <x v="7"/>
  </r>
  <r>
    <x v="8"/>
  </r>
  <r>
    <x v="2"/>
  </r>
  <r>
    <x v="0"/>
  </r>
  <r>
    <x v="1"/>
  </r>
  <r>
    <x v="0"/>
  </r>
  <r>
    <x v="6"/>
  </r>
  <r>
    <x v="6"/>
  </r>
  <r>
    <x v="5"/>
  </r>
  <r>
    <x v="8"/>
  </r>
  <r>
    <x v="5"/>
  </r>
  <r>
    <x v="5"/>
  </r>
  <r>
    <x v="6"/>
  </r>
  <r>
    <x v="8"/>
  </r>
  <r>
    <x v="6"/>
  </r>
  <r>
    <x v="0"/>
  </r>
  <r>
    <x v="0"/>
  </r>
  <r>
    <x v="5"/>
  </r>
  <r>
    <x v="6"/>
  </r>
  <r>
    <x v="8"/>
  </r>
  <r>
    <x v="6"/>
  </r>
  <r>
    <x v="9"/>
  </r>
  <r>
    <x v="4"/>
  </r>
  <r>
    <x v="2"/>
  </r>
  <r>
    <x v="4"/>
  </r>
  <r>
    <x v="4"/>
  </r>
  <r>
    <x v="6"/>
  </r>
  <r>
    <x v="5"/>
  </r>
  <r>
    <x v="8"/>
  </r>
  <r>
    <x v="1"/>
  </r>
  <r>
    <x v="1"/>
  </r>
  <r>
    <x v="3"/>
  </r>
  <r>
    <x v="7"/>
  </r>
  <r>
    <x v="0"/>
  </r>
  <r>
    <x v="0"/>
  </r>
  <r>
    <x v="6"/>
  </r>
  <r>
    <x v="5"/>
  </r>
  <r>
    <x v="4"/>
  </r>
  <r>
    <x v="2"/>
  </r>
  <r>
    <x v="2"/>
  </r>
  <r>
    <x v="5"/>
  </r>
  <r>
    <x v="7"/>
  </r>
  <r>
    <x v="2"/>
  </r>
  <r>
    <x v="8"/>
  </r>
  <r>
    <x v="5"/>
  </r>
  <r>
    <x v="6"/>
  </r>
  <r>
    <x v="1"/>
  </r>
  <r>
    <x v="1"/>
  </r>
  <r>
    <x v="3"/>
  </r>
  <r>
    <x v="5"/>
  </r>
  <r>
    <x v="1"/>
  </r>
  <r>
    <x v="7"/>
  </r>
  <r>
    <x v="5"/>
  </r>
  <r>
    <x v="4"/>
  </r>
  <r>
    <x v="2"/>
  </r>
  <r>
    <x v="6"/>
  </r>
  <r>
    <x v="3"/>
  </r>
  <r>
    <x v="8"/>
  </r>
  <r>
    <x v="4"/>
  </r>
  <r>
    <x v="3"/>
  </r>
  <r>
    <x v="7"/>
  </r>
  <r>
    <x v="0"/>
  </r>
  <r>
    <x v="4"/>
  </r>
  <r>
    <x v="6"/>
  </r>
  <r>
    <x v="5"/>
  </r>
  <r>
    <x v="0"/>
  </r>
  <r>
    <x v="9"/>
  </r>
  <r>
    <x v="7"/>
  </r>
  <r>
    <x v="6"/>
  </r>
  <r>
    <x v="7"/>
  </r>
  <r>
    <x v="7"/>
  </r>
  <r>
    <x v="9"/>
  </r>
  <r>
    <x v="7"/>
  </r>
  <r>
    <x v="6"/>
  </r>
  <r>
    <x v="1"/>
  </r>
  <r>
    <x v="4"/>
  </r>
  <r>
    <x v="5"/>
  </r>
  <r>
    <x v="8"/>
  </r>
  <r>
    <x v="5"/>
  </r>
  <r>
    <x v="0"/>
  </r>
  <r>
    <x v="8"/>
  </r>
  <r>
    <x v="0"/>
  </r>
  <r>
    <x v="7"/>
  </r>
  <r>
    <x v="9"/>
  </r>
  <r>
    <x v="1"/>
  </r>
  <r>
    <x v="1"/>
  </r>
  <r>
    <x v="2"/>
  </r>
  <r>
    <x v="5"/>
  </r>
  <r>
    <x v="6"/>
  </r>
  <r>
    <x v="8"/>
  </r>
  <r>
    <x v="6"/>
  </r>
  <r>
    <x v="7"/>
  </r>
  <r>
    <x v="5"/>
  </r>
  <r>
    <x v="1"/>
  </r>
  <r>
    <x v="2"/>
  </r>
  <r>
    <x v="0"/>
  </r>
  <r>
    <x v="4"/>
  </r>
  <r>
    <x v="8"/>
  </r>
  <r>
    <x v="5"/>
  </r>
  <r>
    <x v="2"/>
  </r>
  <r>
    <x v="9"/>
  </r>
  <r>
    <x v="9"/>
  </r>
  <r>
    <x v="2"/>
  </r>
  <r>
    <x v="9"/>
  </r>
  <r>
    <x v="5"/>
  </r>
  <r>
    <x v="1"/>
  </r>
  <r>
    <x v="6"/>
  </r>
  <r>
    <x v="2"/>
  </r>
  <r>
    <x v="1"/>
  </r>
  <r>
    <x v="2"/>
  </r>
  <r>
    <x v="8"/>
  </r>
  <r>
    <x v="9"/>
  </r>
  <r>
    <x v="0"/>
  </r>
  <r>
    <x v="4"/>
  </r>
  <r>
    <x v="6"/>
  </r>
  <r>
    <x v="1"/>
  </r>
  <r>
    <x v="3"/>
  </r>
  <r>
    <x v="0"/>
  </r>
  <r>
    <x v="9"/>
  </r>
  <r>
    <x v="3"/>
  </r>
  <r>
    <x v="6"/>
  </r>
  <r>
    <x v="2"/>
  </r>
  <r>
    <x v="6"/>
  </r>
  <r>
    <x v="2"/>
  </r>
  <r>
    <x v="1"/>
  </r>
  <r>
    <x v="8"/>
  </r>
  <r>
    <x v="3"/>
  </r>
  <r>
    <x v="9"/>
  </r>
  <r>
    <x v="7"/>
  </r>
  <r>
    <x v="2"/>
  </r>
  <r>
    <x v="8"/>
  </r>
  <r>
    <x v="0"/>
  </r>
  <r>
    <x v="4"/>
  </r>
  <r>
    <x v="1"/>
  </r>
  <r>
    <x v="1"/>
  </r>
  <r>
    <x v="4"/>
  </r>
  <r>
    <x v="2"/>
  </r>
  <r>
    <x v="3"/>
  </r>
  <r>
    <x v="8"/>
  </r>
  <r>
    <x v="1"/>
  </r>
  <r>
    <x v="3"/>
  </r>
  <r>
    <x v="5"/>
  </r>
  <r>
    <x v="9"/>
  </r>
  <r>
    <x v="9"/>
  </r>
  <r>
    <x v="2"/>
  </r>
  <r>
    <x v="0"/>
  </r>
  <r>
    <x v="8"/>
  </r>
  <r>
    <x v="0"/>
  </r>
  <r>
    <x v="7"/>
  </r>
  <r>
    <x v="7"/>
  </r>
  <r>
    <x v="4"/>
  </r>
  <r>
    <x v="5"/>
  </r>
  <r>
    <x v="3"/>
  </r>
  <r>
    <x v="9"/>
  </r>
  <r>
    <x v="3"/>
  </r>
  <r>
    <x v="2"/>
  </r>
  <r>
    <x v="4"/>
  </r>
  <r>
    <x v="3"/>
  </r>
  <r>
    <x v="0"/>
  </r>
  <r>
    <x v="7"/>
  </r>
  <r>
    <x v="8"/>
  </r>
  <r>
    <x v="7"/>
  </r>
  <r>
    <x v="2"/>
  </r>
  <r>
    <x v="1"/>
  </r>
  <r>
    <x v="1"/>
  </r>
  <r>
    <x v="0"/>
  </r>
  <r>
    <x v="5"/>
  </r>
  <r>
    <x v="4"/>
  </r>
  <r>
    <x v="1"/>
  </r>
  <r>
    <x v="6"/>
  </r>
  <r>
    <x v="8"/>
  </r>
  <r>
    <x v="5"/>
  </r>
  <r>
    <x v="8"/>
  </r>
  <r>
    <x v="6"/>
  </r>
  <r>
    <x v="8"/>
  </r>
  <r>
    <x v="8"/>
  </r>
  <r>
    <x v="9"/>
  </r>
  <r>
    <x v="2"/>
  </r>
  <r>
    <x v="1"/>
  </r>
  <r>
    <x v="1"/>
  </r>
  <r>
    <x v="9"/>
  </r>
  <r>
    <x v="9"/>
  </r>
  <r>
    <x v="1"/>
  </r>
  <r>
    <x v="3"/>
  </r>
  <r>
    <x v="6"/>
  </r>
  <r>
    <x v="2"/>
  </r>
  <r>
    <x v="8"/>
  </r>
  <r>
    <x v="3"/>
  </r>
  <r>
    <x v="1"/>
  </r>
  <r>
    <x v="7"/>
  </r>
  <r>
    <x v="0"/>
  </r>
  <r>
    <x v="0"/>
  </r>
  <r>
    <x v="5"/>
  </r>
  <r>
    <x v="1"/>
  </r>
  <r>
    <x v="2"/>
  </r>
  <r>
    <x v="1"/>
  </r>
  <r>
    <x v="1"/>
  </r>
  <r>
    <x v="9"/>
  </r>
  <r>
    <x v="3"/>
  </r>
  <r>
    <x v="1"/>
  </r>
  <r>
    <x v="8"/>
  </r>
  <r>
    <x v="0"/>
  </r>
  <r>
    <x v="0"/>
  </r>
  <r>
    <x v="4"/>
  </r>
  <r>
    <x v="8"/>
  </r>
  <r>
    <x v="5"/>
  </r>
  <r>
    <x v="9"/>
  </r>
  <r>
    <x v="5"/>
  </r>
  <r>
    <x v="0"/>
  </r>
  <r>
    <x v="1"/>
  </r>
  <r>
    <x v="5"/>
  </r>
  <r>
    <x v="0"/>
  </r>
  <r>
    <x v="7"/>
  </r>
  <r>
    <x v="3"/>
  </r>
  <r>
    <x v="7"/>
  </r>
  <r>
    <x v="0"/>
  </r>
  <r>
    <x v="5"/>
  </r>
  <r>
    <x v="7"/>
  </r>
  <r>
    <x v="8"/>
  </r>
  <r>
    <x v="8"/>
  </r>
  <r>
    <x v="8"/>
  </r>
  <r>
    <x v="6"/>
  </r>
  <r>
    <x v="8"/>
  </r>
  <r>
    <x v="1"/>
  </r>
  <r>
    <x v="5"/>
  </r>
  <r>
    <x v="2"/>
  </r>
  <r>
    <x v="5"/>
  </r>
  <r>
    <x v="5"/>
  </r>
  <r>
    <x v="8"/>
  </r>
  <r>
    <x v="6"/>
  </r>
  <r>
    <x v="6"/>
  </r>
  <r>
    <x v="8"/>
  </r>
  <r>
    <x v="1"/>
  </r>
  <r>
    <x v="9"/>
  </r>
  <r>
    <x v="9"/>
  </r>
  <r>
    <x v="0"/>
  </r>
  <r>
    <x v="9"/>
  </r>
  <r>
    <x v="4"/>
  </r>
  <r>
    <x v="6"/>
  </r>
  <r>
    <x v="3"/>
  </r>
  <r>
    <x v="1"/>
  </r>
  <r>
    <x v="6"/>
  </r>
  <r>
    <x v="2"/>
  </r>
  <r>
    <x v="2"/>
  </r>
  <r>
    <x v="6"/>
  </r>
  <r>
    <x v="4"/>
  </r>
  <r>
    <x v="8"/>
  </r>
  <r>
    <x v="2"/>
  </r>
  <r>
    <x v="9"/>
  </r>
  <r>
    <x v="4"/>
  </r>
  <r>
    <x v="8"/>
  </r>
  <r>
    <x v="5"/>
  </r>
  <r>
    <x v="9"/>
  </r>
  <r>
    <x v="9"/>
  </r>
  <r>
    <x v="7"/>
  </r>
  <r>
    <x v="4"/>
  </r>
  <r>
    <x v="8"/>
  </r>
  <r>
    <x v="0"/>
  </r>
  <r>
    <x v="8"/>
  </r>
  <r>
    <x v="5"/>
  </r>
  <r>
    <x v="9"/>
  </r>
  <r>
    <x v="2"/>
  </r>
  <r>
    <x v="2"/>
  </r>
  <r>
    <x v="0"/>
  </r>
  <r>
    <x v="2"/>
  </r>
  <r>
    <x v="8"/>
  </r>
  <r>
    <x v="0"/>
  </r>
  <r>
    <x v="3"/>
  </r>
  <r>
    <x v="1"/>
  </r>
  <r>
    <x v="2"/>
  </r>
  <r>
    <x v="0"/>
  </r>
  <r>
    <x v="0"/>
  </r>
  <r>
    <x v="0"/>
  </r>
  <r>
    <x v="2"/>
  </r>
  <r>
    <x v="7"/>
  </r>
  <r>
    <x v="9"/>
  </r>
  <r>
    <x v="2"/>
  </r>
  <r>
    <x v="1"/>
  </r>
  <r>
    <x v="2"/>
  </r>
  <r>
    <x v="6"/>
  </r>
  <r>
    <x v="6"/>
  </r>
  <r>
    <x v="4"/>
  </r>
  <r>
    <x v="8"/>
  </r>
  <r>
    <x v="8"/>
  </r>
  <r>
    <x v="6"/>
  </r>
  <r>
    <x v="9"/>
  </r>
  <r>
    <x v="5"/>
  </r>
  <r>
    <x v="5"/>
  </r>
  <r>
    <x v="3"/>
  </r>
  <r>
    <x v="5"/>
  </r>
  <r>
    <x v="3"/>
  </r>
  <r>
    <x v="2"/>
  </r>
  <r>
    <x v="0"/>
  </r>
  <r>
    <x v="1"/>
  </r>
  <r>
    <x v="7"/>
  </r>
  <r>
    <x v="8"/>
  </r>
  <r>
    <x v="2"/>
  </r>
  <r>
    <x v="0"/>
  </r>
  <r>
    <x v="8"/>
  </r>
  <r>
    <x v="2"/>
  </r>
  <r>
    <x v="1"/>
  </r>
  <r>
    <x v="7"/>
  </r>
  <r>
    <x v="2"/>
  </r>
  <r>
    <x v="4"/>
  </r>
  <r>
    <x v="0"/>
  </r>
  <r>
    <x v="8"/>
  </r>
  <r>
    <x v="5"/>
  </r>
  <r>
    <x v="3"/>
  </r>
  <r>
    <x v="3"/>
  </r>
  <r>
    <x v="9"/>
  </r>
  <r>
    <x v="8"/>
  </r>
  <r>
    <x v="1"/>
  </r>
  <r>
    <x v="5"/>
  </r>
  <r>
    <x v="6"/>
  </r>
  <r>
    <x v="3"/>
  </r>
  <r>
    <x v="4"/>
  </r>
  <r>
    <x v="6"/>
  </r>
  <r>
    <x v="5"/>
  </r>
  <r>
    <x v="5"/>
  </r>
  <r>
    <x v="4"/>
  </r>
  <r>
    <x v="1"/>
  </r>
  <r>
    <x v="1"/>
  </r>
  <r>
    <x v="9"/>
  </r>
  <r>
    <x v="7"/>
  </r>
  <r>
    <x v="2"/>
  </r>
  <r>
    <x v="9"/>
  </r>
  <r>
    <x v="4"/>
  </r>
  <r>
    <x v="8"/>
  </r>
  <r>
    <x v="0"/>
  </r>
  <r>
    <x v="3"/>
  </r>
  <r>
    <x v="2"/>
  </r>
  <r>
    <x v="9"/>
  </r>
  <r>
    <x v="3"/>
  </r>
  <r>
    <x v="2"/>
  </r>
  <r>
    <x v="4"/>
  </r>
  <r>
    <x v="7"/>
  </r>
  <r>
    <x v="9"/>
  </r>
  <r>
    <x v="5"/>
  </r>
  <r>
    <x v="2"/>
  </r>
  <r>
    <x v="6"/>
  </r>
  <r>
    <x v="8"/>
  </r>
  <r>
    <x v="7"/>
  </r>
  <r>
    <x v="7"/>
  </r>
  <r>
    <x v="4"/>
  </r>
  <r>
    <x v="5"/>
  </r>
  <r>
    <x v="3"/>
  </r>
  <r>
    <x v="5"/>
  </r>
  <r>
    <x v="8"/>
  </r>
  <r>
    <x v="5"/>
  </r>
  <r>
    <x v="9"/>
  </r>
  <r>
    <x v="5"/>
  </r>
  <r>
    <x v="5"/>
  </r>
  <r>
    <x v="6"/>
  </r>
  <r>
    <x v="1"/>
  </r>
  <r>
    <x v="0"/>
  </r>
  <r>
    <x v="2"/>
  </r>
  <r>
    <x v="8"/>
  </r>
  <r>
    <x v="7"/>
  </r>
  <r>
    <x v="4"/>
  </r>
  <r>
    <x v="3"/>
  </r>
  <r>
    <x v="7"/>
  </r>
  <r>
    <x v="9"/>
  </r>
  <r>
    <x v="2"/>
  </r>
  <r>
    <x v="4"/>
  </r>
  <r>
    <x v="2"/>
  </r>
  <r>
    <x v="4"/>
  </r>
  <r>
    <x v="6"/>
  </r>
  <r>
    <x v="8"/>
  </r>
  <r>
    <x v="0"/>
  </r>
  <r>
    <x v="7"/>
  </r>
  <r>
    <x v="6"/>
  </r>
  <r>
    <x v="1"/>
  </r>
  <r>
    <x v="7"/>
  </r>
  <r>
    <x v="4"/>
  </r>
  <r>
    <x v="3"/>
  </r>
  <r>
    <x v="9"/>
  </r>
  <r>
    <x v="7"/>
  </r>
  <r>
    <x v="2"/>
  </r>
  <r>
    <x v="0"/>
  </r>
  <r>
    <x v="1"/>
  </r>
  <r>
    <x v="6"/>
  </r>
  <r>
    <x v="4"/>
  </r>
  <r>
    <x v="6"/>
  </r>
  <r>
    <x v="1"/>
  </r>
  <r>
    <x v="9"/>
  </r>
  <r>
    <x v="8"/>
  </r>
  <r>
    <x v="1"/>
  </r>
  <r>
    <x v="9"/>
  </r>
  <r>
    <x v="6"/>
  </r>
  <r>
    <x v="1"/>
  </r>
  <r>
    <x v="8"/>
  </r>
  <r>
    <x v="8"/>
  </r>
  <r>
    <x v="5"/>
  </r>
  <r>
    <x v="8"/>
  </r>
  <r>
    <x v="2"/>
  </r>
  <r>
    <x v="4"/>
  </r>
  <r>
    <x v="1"/>
  </r>
  <r>
    <x v="4"/>
  </r>
  <r>
    <x v="9"/>
  </r>
  <r>
    <x v="7"/>
  </r>
  <r>
    <x v="8"/>
  </r>
  <r>
    <x v="0"/>
  </r>
  <r>
    <x v="2"/>
  </r>
  <r>
    <x v="9"/>
  </r>
  <r>
    <x v="7"/>
  </r>
  <r>
    <x v="9"/>
  </r>
  <r>
    <x v="0"/>
  </r>
  <r>
    <x v="6"/>
  </r>
  <r>
    <x v="9"/>
  </r>
  <r>
    <x v="1"/>
  </r>
  <r>
    <x v="0"/>
  </r>
  <r>
    <x v="8"/>
  </r>
  <r>
    <x v="0"/>
  </r>
  <r>
    <x v="4"/>
  </r>
  <r>
    <x v="2"/>
  </r>
  <r>
    <x v="1"/>
  </r>
  <r>
    <x v="9"/>
  </r>
  <r>
    <x v="7"/>
  </r>
  <r>
    <x v="2"/>
  </r>
  <r>
    <x v="4"/>
  </r>
  <r>
    <x v="8"/>
  </r>
  <r>
    <x v="1"/>
  </r>
  <r>
    <x v="5"/>
  </r>
  <r>
    <x v="6"/>
  </r>
  <r>
    <x v="6"/>
  </r>
  <r>
    <x v="4"/>
  </r>
  <r>
    <x v="7"/>
  </r>
  <r>
    <x v="4"/>
  </r>
  <r>
    <x v="3"/>
  </r>
  <r>
    <x v="6"/>
  </r>
  <r>
    <x v="7"/>
  </r>
  <r>
    <x v="8"/>
  </r>
  <r>
    <x v="3"/>
  </r>
  <r>
    <x v="3"/>
  </r>
  <r>
    <x v="0"/>
  </r>
  <r>
    <x v="2"/>
  </r>
  <r>
    <x v="8"/>
  </r>
  <r>
    <x v="2"/>
  </r>
  <r>
    <x v="9"/>
  </r>
  <r>
    <x v="6"/>
  </r>
  <r>
    <x v="6"/>
  </r>
  <r>
    <x v="0"/>
  </r>
  <r>
    <x v="2"/>
  </r>
  <r>
    <x v="9"/>
  </r>
  <r>
    <x v="5"/>
  </r>
  <r>
    <x v="6"/>
  </r>
  <r>
    <x v="5"/>
  </r>
  <r>
    <x v="6"/>
  </r>
  <r>
    <x v="0"/>
  </r>
  <r>
    <x v="0"/>
  </r>
  <r>
    <x v="5"/>
  </r>
  <r>
    <x v="0"/>
  </r>
  <r>
    <x v="5"/>
  </r>
  <r>
    <x v="7"/>
  </r>
  <r>
    <x v="0"/>
  </r>
  <r>
    <x v="3"/>
  </r>
  <r>
    <x v="7"/>
  </r>
  <r>
    <x v="6"/>
  </r>
  <r>
    <x v="2"/>
  </r>
  <r>
    <x v="5"/>
  </r>
  <r>
    <x v="5"/>
  </r>
  <r>
    <x v="9"/>
  </r>
  <r>
    <x v="0"/>
  </r>
  <r>
    <x v="0"/>
  </r>
  <r>
    <x v="6"/>
  </r>
  <r>
    <x v="5"/>
  </r>
  <r>
    <x v="3"/>
  </r>
  <r>
    <x v="7"/>
  </r>
  <r>
    <x v="1"/>
  </r>
  <r>
    <x v="8"/>
  </r>
  <r>
    <x v="4"/>
  </r>
  <r>
    <x v="5"/>
  </r>
  <r>
    <x v="3"/>
  </r>
  <r>
    <x v="2"/>
  </r>
  <r>
    <x v="1"/>
  </r>
  <r>
    <x v="5"/>
  </r>
  <r>
    <x v="7"/>
  </r>
  <r>
    <x v="7"/>
  </r>
  <r>
    <x v="8"/>
  </r>
  <r>
    <x v="6"/>
  </r>
  <r>
    <x v="0"/>
  </r>
  <r>
    <x v="2"/>
  </r>
  <r>
    <x v="3"/>
  </r>
  <r>
    <x v="0"/>
  </r>
  <r>
    <x v="0"/>
  </r>
  <r>
    <x v="5"/>
  </r>
  <r>
    <x v="0"/>
  </r>
  <r>
    <x v="4"/>
  </r>
  <r>
    <x v="5"/>
  </r>
  <r>
    <x v="7"/>
  </r>
  <r>
    <x v="7"/>
  </r>
  <r>
    <x v="6"/>
  </r>
  <r>
    <x v="9"/>
  </r>
  <r>
    <x v="8"/>
  </r>
  <r>
    <x v="9"/>
  </r>
  <r>
    <x v="5"/>
  </r>
  <r>
    <x v="1"/>
  </r>
  <r>
    <x v="4"/>
  </r>
  <r>
    <x v="9"/>
  </r>
  <r>
    <x v="4"/>
  </r>
  <r>
    <x v="6"/>
  </r>
  <r>
    <x v="5"/>
  </r>
  <r>
    <x v="6"/>
  </r>
  <r>
    <x v="6"/>
  </r>
  <r>
    <x v="6"/>
  </r>
  <r>
    <x v="4"/>
  </r>
  <r>
    <x v="9"/>
  </r>
  <r>
    <x v="1"/>
  </r>
  <r>
    <x v="0"/>
  </r>
  <r>
    <x v="8"/>
  </r>
  <r>
    <x v="4"/>
  </r>
  <r>
    <x v="5"/>
  </r>
  <r>
    <x v="6"/>
  </r>
  <r>
    <x v="1"/>
  </r>
  <r>
    <x v="1"/>
  </r>
  <r>
    <x v="2"/>
  </r>
  <r>
    <x v="1"/>
  </r>
  <r>
    <x v="8"/>
  </r>
  <r>
    <x v="8"/>
  </r>
  <r>
    <x v="5"/>
  </r>
  <r>
    <x v="1"/>
  </r>
  <r>
    <x v="8"/>
  </r>
  <r>
    <x v="8"/>
  </r>
  <r>
    <x v="3"/>
  </r>
  <r>
    <x v="1"/>
  </r>
  <r>
    <x v="4"/>
  </r>
  <r>
    <x v="7"/>
  </r>
  <r>
    <x v="7"/>
  </r>
  <r>
    <x v="9"/>
  </r>
  <r>
    <x v="4"/>
  </r>
  <r>
    <x v="1"/>
  </r>
  <r>
    <x v="9"/>
  </r>
  <r>
    <x v="7"/>
  </r>
  <r>
    <x v="6"/>
  </r>
  <r>
    <x v="5"/>
  </r>
  <r>
    <x v="0"/>
  </r>
  <r>
    <x v="7"/>
  </r>
  <r>
    <x v="1"/>
  </r>
  <r>
    <x v="5"/>
  </r>
  <r>
    <x v="7"/>
  </r>
  <r>
    <x v="5"/>
  </r>
  <r>
    <x v="4"/>
  </r>
  <r>
    <x v="9"/>
  </r>
  <r>
    <x v="9"/>
  </r>
  <r>
    <x v="2"/>
  </r>
  <r>
    <x v="7"/>
  </r>
  <r>
    <x v="4"/>
  </r>
  <r>
    <x v="2"/>
  </r>
  <r>
    <x v="5"/>
  </r>
  <r>
    <x v="5"/>
  </r>
  <r>
    <x v="7"/>
  </r>
  <r>
    <x v="4"/>
  </r>
  <r>
    <x v="0"/>
  </r>
  <r>
    <x v="6"/>
  </r>
  <r>
    <x v="8"/>
  </r>
  <r>
    <x v="0"/>
  </r>
  <r>
    <x v="0"/>
  </r>
  <r>
    <x v="7"/>
  </r>
  <r>
    <x v="8"/>
  </r>
  <r>
    <x v="1"/>
  </r>
  <r>
    <x v="6"/>
  </r>
  <r>
    <x v="6"/>
  </r>
  <r>
    <x v="2"/>
  </r>
  <r>
    <x v="5"/>
  </r>
  <r>
    <x v="8"/>
  </r>
  <r>
    <x v="7"/>
  </r>
  <r>
    <x v="5"/>
  </r>
  <r>
    <x v="6"/>
  </r>
  <r>
    <x v="6"/>
  </r>
  <r>
    <x v="3"/>
  </r>
  <r>
    <x v="3"/>
  </r>
  <r>
    <x v="4"/>
  </r>
  <r>
    <x v="4"/>
  </r>
  <r>
    <x v="7"/>
  </r>
  <r>
    <x v="6"/>
  </r>
  <r>
    <x v="2"/>
  </r>
  <r>
    <x v="5"/>
  </r>
  <r>
    <x v="8"/>
  </r>
  <r>
    <x v="1"/>
  </r>
  <r>
    <x v="8"/>
  </r>
  <r>
    <x v="6"/>
  </r>
  <r>
    <x v="3"/>
  </r>
  <r>
    <x v="1"/>
  </r>
  <r>
    <x v="8"/>
  </r>
  <r>
    <x v="2"/>
  </r>
  <r>
    <x v="4"/>
  </r>
  <r>
    <x v="1"/>
  </r>
  <r>
    <x v="5"/>
  </r>
  <r>
    <x v="9"/>
  </r>
  <r>
    <x v="7"/>
  </r>
  <r>
    <x v="2"/>
  </r>
  <r>
    <x v="7"/>
  </r>
  <r>
    <x v="1"/>
  </r>
  <r>
    <x v="7"/>
  </r>
  <r>
    <x v="9"/>
  </r>
  <r>
    <x v="5"/>
  </r>
  <r>
    <x v="6"/>
  </r>
  <r>
    <x v="5"/>
  </r>
  <r>
    <x v="6"/>
  </r>
  <r>
    <x v="7"/>
  </r>
  <r>
    <x v="7"/>
  </r>
  <r>
    <x v="1"/>
  </r>
  <r>
    <x v="3"/>
  </r>
  <r>
    <x v="0"/>
  </r>
  <r>
    <x v="1"/>
  </r>
  <r>
    <x v="3"/>
  </r>
  <r>
    <x v="2"/>
  </r>
  <r>
    <x v="1"/>
  </r>
  <r>
    <x v="3"/>
  </r>
  <r>
    <x v="6"/>
  </r>
  <r>
    <x v="5"/>
  </r>
  <r>
    <x v="3"/>
  </r>
  <r>
    <x v="3"/>
  </r>
  <r>
    <x v="3"/>
  </r>
  <r>
    <x v="1"/>
  </r>
  <r>
    <x v="4"/>
  </r>
  <r>
    <x v="7"/>
  </r>
  <r>
    <x v="2"/>
  </r>
  <r>
    <x v="5"/>
  </r>
  <r>
    <x v="4"/>
  </r>
  <r>
    <x v="8"/>
  </r>
  <r>
    <x v="9"/>
  </r>
  <r>
    <x v="6"/>
  </r>
  <r>
    <x v="6"/>
  </r>
  <r>
    <x v="4"/>
  </r>
  <r>
    <x v="6"/>
  </r>
  <r>
    <x v="4"/>
  </r>
  <r>
    <x v="3"/>
  </r>
  <r>
    <x v="1"/>
  </r>
  <r>
    <x v="7"/>
  </r>
  <r>
    <x v="7"/>
  </r>
  <r>
    <x v="3"/>
  </r>
  <r>
    <x v="1"/>
  </r>
  <r>
    <x v="3"/>
  </r>
  <r>
    <x v="7"/>
  </r>
  <r>
    <x v="8"/>
  </r>
  <r>
    <x v="1"/>
  </r>
  <r>
    <x v="1"/>
  </r>
  <r>
    <x v="7"/>
  </r>
  <r>
    <x v="9"/>
  </r>
  <r>
    <x v="9"/>
  </r>
  <r>
    <x v="0"/>
  </r>
  <r>
    <x v="4"/>
  </r>
  <r>
    <x v="1"/>
  </r>
  <r>
    <x v="9"/>
  </r>
  <r>
    <x v="9"/>
  </r>
  <r>
    <x v="5"/>
  </r>
  <r>
    <x v="8"/>
  </r>
  <r>
    <x v="2"/>
  </r>
  <r>
    <x v="3"/>
  </r>
  <r>
    <x v="7"/>
  </r>
  <r>
    <x v="9"/>
  </r>
  <r>
    <x v="7"/>
  </r>
  <r>
    <x v="3"/>
  </r>
  <r>
    <x v="9"/>
  </r>
  <r>
    <x v="2"/>
  </r>
  <r>
    <x v="6"/>
  </r>
  <r>
    <x v="8"/>
  </r>
  <r>
    <x v="7"/>
  </r>
  <r>
    <x v="2"/>
  </r>
  <r>
    <x v="3"/>
  </r>
  <r>
    <x v="2"/>
  </r>
  <r>
    <x v="9"/>
  </r>
  <r>
    <x v="3"/>
  </r>
  <r>
    <x v="9"/>
  </r>
  <r>
    <x v="4"/>
  </r>
  <r>
    <x v="4"/>
  </r>
  <r>
    <x v="0"/>
  </r>
  <r>
    <x v="4"/>
  </r>
  <r>
    <x v="9"/>
  </r>
  <r>
    <x v="9"/>
  </r>
  <r>
    <x v="0"/>
  </r>
  <r>
    <x v="4"/>
  </r>
  <r>
    <x v="7"/>
  </r>
  <r>
    <x v="3"/>
  </r>
  <r>
    <x v="4"/>
  </r>
  <r>
    <x v="2"/>
  </r>
  <r>
    <x v="8"/>
  </r>
  <r>
    <x v="5"/>
  </r>
  <r>
    <x v="7"/>
  </r>
  <r>
    <x v="4"/>
  </r>
  <r>
    <x v="2"/>
  </r>
  <r>
    <x v="3"/>
  </r>
  <r>
    <x v="6"/>
  </r>
  <r>
    <x v="7"/>
  </r>
  <r>
    <x v="4"/>
  </r>
  <r>
    <x v="0"/>
  </r>
  <r>
    <x v="5"/>
  </r>
  <r>
    <x v="2"/>
  </r>
  <r>
    <x v="2"/>
  </r>
  <r>
    <x v="5"/>
  </r>
  <r>
    <x v="9"/>
  </r>
  <r>
    <x v="5"/>
  </r>
  <r>
    <x v="1"/>
  </r>
  <r>
    <x v="5"/>
  </r>
  <r>
    <x v="0"/>
  </r>
  <r>
    <x v="1"/>
  </r>
  <r>
    <x v="6"/>
  </r>
  <r>
    <x v="8"/>
  </r>
  <r>
    <x v="5"/>
  </r>
  <r>
    <x v="7"/>
  </r>
  <r>
    <x v="7"/>
  </r>
  <r>
    <x v="7"/>
  </r>
  <r>
    <x v="2"/>
  </r>
  <r>
    <x v="0"/>
  </r>
  <r>
    <x v="4"/>
  </r>
  <r>
    <x v="6"/>
  </r>
  <r>
    <x v="2"/>
  </r>
  <r>
    <x v="0"/>
  </r>
  <r>
    <x v="9"/>
  </r>
  <r>
    <x v="2"/>
  </r>
  <r>
    <x v="6"/>
  </r>
  <r>
    <x v="7"/>
  </r>
  <r>
    <x v="2"/>
  </r>
  <r>
    <x v="2"/>
  </r>
  <r>
    <x v="7"/>
  </r>
  <r>
    <x v="0"/>
  </r>
  <r>
    <x v="8"/>
  </r>
  <r>
    <x v="2"/>
  </r>
  <r>
    <x v="7"/>
  </r>
  <r>
    <x v="0"/>
  </r>
  <r>
    <x v="6"/>
  </r>
  <r>
    <x v="0"/>
  </r>
  <r>
    <x v="5"/>
  </r>
  <r>
    <x v="9"/>
  </r>
  <r>
    <x v="3"/>
  </r>
  <r>
    <x v="9"/>
  </r>
  <r>
    <x v="7"/>
  </r>
  <r>
    <x v="4"/>
  </r>
  <r>
    <x v="6"/>
  </r>
  <r>
    <x v="0"/>
  </r>
  <r>
    <x v="1"/>
  </r>
  <r>
    <x v="7"/>
  </r>
  <r>
    <x v="9"/>
  </r>
  <r>
    <x v="2"/>
  </r>
  <r>
    <x v="3"/>
  </r>
  <r>
    <x v="0"/>
  </r>
  <r>
    <x v="5"/>
  </r>
  <r>
    <x v="4"/>
  </r>
  <r>
    <x v="3"/>
  </r>
  <r>
    <x v="2"/>
  </r>
  <r>
    <x v="8"/>
  </r>
  <r>
    <x v="4"/>
  </r>
  <r>
    <x v="4"/>
  </r>
  <r>
    <x v="3"/>
  </r>
  <r>
    <x v="9"/>
  </r>
  <r>
    <x v="5"/>
  </r>
  <r>
    <x v="4"/>
  </r>
  <r>
    <x v="3"/>
  </r>
  <r>
    <x v="2"/>
  </r>
  <r>
    <x v="2"/>
  </r>
  <r>
    <x v="6"/>
  </r>
  <r>
    <x v="3"/>
  </r>
  <r>
    <x v="5"/>
  </r>
  <r>
    <x v="4"/>
  </r>
  <r>
    <x v="8"/>
  </r>
  <r>
    <x v="6"/>
  </r>
  <r>
    <x v="8"/>
  </r>
  <r>
    <x v="6"/>
  </r>
  <r>
    <x v="3"/>
  </r>
  <r>
    <x v="9"/>
  </r>
  <r>
    <x v="9"/>
  </r>
  <r>
    <x v="6"/>
  </r>
  <r>
    <x v="9"/>
  </r>
  <r>
    <x v="6"/>
  </r>
  <r>
    <x v="6"/>
  </r>
  <r>
    <x v="5"/>
  </r>
  <r>
    <x v="7"/>
  </r>
  <r>
    <x v="1"/>
  </r>
  <r>
    <x v="4"/>
  </r>
  <r>
    <x v="1"/>
  </r>
  <r>
    <x v="6"/>
  </r>
  <r>
    <x v="5"/>
  </r>
  <r>
    <x v="9"/>
  </r>
  <r>
    <x v="6"/>
  </r>
  <r>
    <x v="5"/>
  </r>
  <r>
    <x v="6"/>
  </r>
  <r>
    <x v="7"/>
  </r>
  <r>
    <x v="1"/>
  </r>
  <r>
    <x v="9"/>
  </r>
  <r>
    <x v="9"/>
  </r>
  <r>
    <x v="2"/>
  </r>
  <r>
    <x v="9"/>
  </r>
  <r>
    <x v="1"/>
  </r>
  <r>
    <x v="5"/>
  </r>
  <r>
    <x v="8"/>
  </r>
  <r>
    <x v="6"/>
  </r>
  <r>
    <x v="1"/>
  </r>
  <r>
    <x v="7"/>
  </r>
  <r>
    <x v="0"/>
  </r>
  <r>
    <x v="5"/>
  </r>
  <r>
    <x v="4"/>
  </r>
  <r>
    <x v="5"/>
  </r>
  <r>
    <x v="8"/>
  </r>
  <r>
    <x v="7"/>
  </r>
  <r>
    <x v="6"/>
  </r>
  <r>
    <x v="0"/>
  </r>
  <r>
    <x v="5"/>
  </r>
  <r>
    <x v="6"/>
  </r>
  <r>
    <x v="6"/>
  </r>
  <r>
    <x v="8"/>
  </r>
  <r>
    <x v="0"/>
  </r>
  <r>
    <x v="7"/>
  </r>
  <r>
    <x v="1"/>
  </r>
  <r>
    <x v="5"/>
  </r>
  <r>
    <x v="3"/>
  </r>
  <r>
    <x v="2"/>
  </r>
  <r>
    <x v="8"/>
  </r>
  <r>
    <x v="0"/>
  </r>
  <r>
    <x v="3"/>
  </r>
  <r>
    <x v="7"/>
  </r>
  <r>
    <x v="3"/>
  </r>
  <r>
    <x v="0"/>
  </r>
  <r>
    <x v="5"/>
  </r>
  <r>
    <x v="3"/>
  </r>
  <r>
    <x v="1"/>
  </r>
  <r>
    <x v="3"/>
  </r>
  <r>
    <x v="0"/>
  </r>
  <r>
    <x v="1"/>
  </r>
  <r>
    <x v="3"/>
  </r>
  <r>
    <x v="7"/>
  </r>
  <r>
    <x v="9"/>
  </r>
  <r>
    <x v="5"/>
  </r>
  <r>
    <x v="5"/>
  </r>
  <r>
    <x v="7"/>
  </r>
  <r>
    <x v="7"/>
  </r>
  <r>
    <x v="6"/>
  </r>
  <r>
    <x v="9"/>
  </r>
  <r>
    <x v="8"/>
  </r>
  <r>
    <x v="6"/>
  </r>
  <r>
    <x v="0"/>
  </r>
  <r>
    <x v="7"/>
  </r>
  <r>
    <x v="9"/>
  </r>
  <r>
    <x v="5"/>
  </r>
  <r>
    <x v="8"/>
  </r>
  <r>
    <x v="4"/>
  </r>
  <r>
    <x v="1"/>
  </r>
  <r>
    <x v="7"/>
  </r>
  <r>
    <x v="0"/>
  </r>
  <r>
    <x v="9"/>
  </r>
  <r>
    <x v="0"/>
  </r>
  <r>
    <x v="0"/>
  </r>
  <r>
    <x v="8"/>
  </r>
  <r>
    <x v="3"/>
  </r>
  <r>
    <x v="3"/>
  </r>
  <r>
    <x v="6"/>
  </r>
  <r>
    <x v="4"/>
  </r>
  <r>
    <x v="4"/>
  </r>
  <r>
    <x v="8"/>
  </r>
  <r>
    <x v="0"/>
  </r>
  <r>
    <x v="7"/>
  </r>
  <r>
    <x v="7"/>
  </r>
  <r>
    <x v="5"/>
  </r>
  <r>
    <x v="9"/>
  </r>
  <r>
    <x v="1"/>
  </r>
  <r>
    <x v="4"/>
  </r>
  <r>
    <x v="9"/>
  </r>
  <r>
    <x v="0"/>
  </r>
  <r>
    <x v="9"/>
  </r>
  <r>
    <x v="3"/>
  </r>
  <r>
    <x v="1"/>
  </r>
  <r>
    <x v="5"/>
  </r>
  <r>
    <x v="3"/>
  </r>
  <r>
    <x v="0"/>
  </r>
  <r>
    <x v="1"/>
  </r>
  <r>
    <x v="9"/>
  </r>
  <r>
    <x v="1"/>
  </r>
  <r>
    <x v="2"/>
  </r>
  <r>
    <x v="0"/>
  </r>
  <r>
    <x v="9"/>
  </r>
  <r>
    <x v="7"/>
  </r>
  <r>
    <x v="4"/>
  </r>
  <r>
    <x v="8"/>
  </r>
  <r>
    <x v="9"/>
  </r>
  <r>
    <x v="2"/>
  </r>
  <r>
    <x v="7"/>
  </r>
  <r>
    <x v="3"/>
  </r>
  <r>
    <x v="9"/>
  </r>
  <r>
    <x v="4"/>
  </r>
  <r>
    <x v="8"/>
  </r>
  <r>
    <x v="1"/>
  </r>
  <r>
    <x v="3"/>
  </r>
  <r>
    <x v="3"/>
  </r>
  <r>
    <x v="6"/>
  </r>
  <r>
    <x v="1"/>
  </r>
  <r>
    <x v="4"/>
  </r>
  <r>
    <x v="7"/>
  </r>
  <r>
    <x v="3"/>
  </r>
  <r>
    <x v="3"/>
  </r>
  <r>
    <x v="2"/>
  </r>
  <r>
    <x v="9"/>
  </r>
  <r>
    <x v="9"/>
  </r>
  <r>
    <x v="6"/>
  </r>
  <r>
    <x v="5"/>
  </r>
  <r>
    <x v="9"/>
  </r>
  <r>
    <x v="7"/>
  </r>
  <r>
    <x v="0"/>
  </r>
  <r>
    <x v="2"/>
  </r>
  <r>
    <x v="7"/>
  </r>
  <r>
    <x v="8"/>
  </r>
  <r>
    <x v="1"/>
  </r>
  <r>
    <x v="8"/>
  </r>
  <r>
    <x v="3"/>
  </r>
  <r>
    <x v="1"/>
  </r>
  <r>
    <x v="10"/>
  </r>
</pivotCacheRecords>
</file>

<file path=xl/pivotCache/pivotCacheRecords3.xml><?xml version="1.0" encoding="utf-8"?>
<pivotCacheRecords xmlns="http://schemas.openxmlformats.org/spreadsheetml/2006/main" xmlns:r="http://schemas.openxmlformats.org/officeDocument/2006/relationships" count="1000">
  <r>
    <s v="2862D67F"/>
    <m/>
    <m/>
    <s v="CUST5304"/>
    <s v="Emily Singh"/>
    <s v="South Africa"/>
    <s v="Abu Dhabi"/>
    <s v="North Indian, Mughlai"/>
    <s v="Chicken Biryani"/>
    <n v="2819"/>
    <n v="29.15"/>
    <n v="2.2000000000000002"/>
    <n v="21.74"/>
    <n v="2"/>
    <n v="9"/>
    <n v="391.32"/>
    <n v="7.84"/>
    <n v="383.48"/>
  </r>
  <r>
    <s v="42052A03"/>
    <m/>
    <m/>
    <s v="CUST6821"/>
    <s v="John Sharma"/>
    <s v="New Zealand"/>
    <s v="Abu Dhabi"/>
    <s v="North Indian, Chinese"/>
    <s v="Pasta Alfredo"/>
    <n v="1935"/>
    <n v="33.58"/>
    <n v="2.5"/>
    <n v="21.86"/>
    <n v="4"/>
    <n v="12"/>
    <n v="1049.28"/>
    <n v="4.68"/>
    <n v="1044.5999999999999"/>
  </r>
  <r>
    <s v="4E33330C"/>
    <m/>
    <m/>
    <s v="CUST7088"/>
    <s v="John Taylor"/>
    <s v="Indonesia"/>
    <s v="Abu Dhabi"/>
    <s v="Cafe"/>
    <s v="Fried Rice"/>
    <n v="2193"/>
    <n v="31.28"/>
    <n v="3.6"/>
    <n v="12.76"/>
    <n v="2"/>
    <n v="6"/>
    <n v="153.12"/>
    <n v="4.13"/>
    <n v="148.99"/>
  </r>
  <r>
    <s v="194506CB"/>
    <m/>
    <m/>
    <s v="CUST4126"/>
    <s v="Ahmed Brown"/>
    <s v="New Zealand"/>
    <s v="Abu Dhabi"/>
    <s v="North Indian, Chinese"/>
    <s v="Pasta Alfredo"/>
    <n v="2011"/>
    <n v="10.49"/>
    <n v="3.7"/>
    <n v="26.48"/>
    <n v="4"/>
    <n v="14"/>
    <n v="1482.88"/>
    <n v="4.1100000000000003"/>
    <n v="1478.77"/>
  </r>
  <r>
    <s v="8B151D2D"/>
    <m/>
    <m/>
    <s v="CUST2828"/>
    <s v="Anita Lee"/>
    <s v="Singapore"/>
    <s v="Abu Dhabi"/>
    <s v="North Indian, Chinese"/>
    <s v="Grilled Sandwich"/>
    <n v="1845"/>
    <n v="35.99"/>
    <n v="3.2"/>
    <n v="30.29"/>
    <n v="4"/>
    <n v="16"/>
    <n v="1938.56"/>
    <n v="1.43"/>
    <n v="1937.13"/>
  </r>
  <r>
    <s v="898CB2B5"/>
    <m/>
    <m/>
    <s v="CUST7620"/>
    <s v="David Patel"/>
    <s v="Singapore"/>
    <s v="Abu Dhabi"/>
    <s v="North Indian"/>
    <s v="Masala Dosa"/>
    <n v="1918"/>
    <n v="11.75"/>
    <n v="3.2"/>
    <n v="32.94"/>
    <n v="4"/>
    <n v="2"/>
    <n v="263.52"/>
    <n v="2.31"/>
    <n v="261.20999999999998"/>
  </r>
  <r>
    <s v="1D3AC5E3"/>
    <m/>
    <m/>
    <s v="CUST1051"/>
    <s v="David Patel"/>
    <s v="India"/>
    <s v="Abu Dhabi"/>
    <s v="North Indian, Chinese"/>
    <s v="Margherita Pizza"/>
    <n v="2162"/>
    <n v="47.6"/>
    <n v="4.4000000000000004"/>
    <n v="11.99"/>
    <n v="5"/>
    <n v="5"/>
    <n v="299.75"/>
    <n v="6.78"/>
    <n v="292.97000000000003"/>
  </r>
  <r>
    <s v="921B4AF8"/>
    <m/>
    <m/>
    <s v="CUST5636"/>
    <s v="Sophia Singh"/>
    <s v="New Zealand"/>
    <s v="Abu Dhabi"/>
    <s v="Chinese"/>
    <s v="Momos"/>
    <n v="1991"/>
    <n v="29.69"/>
    <n v="2.6"/>
    <n v="14.81"/>
    <n v="2"/>
    <n v="4"/>
    <n v="118.48"/>
    <n v="9.51"/>
    <n v="108.97"/>
  </r>
  <r>
    <s v="3D14FA05"/>
    <m/>
    <m/>
    <s v="CUST2090"/>
    <s v="Sophia Das"/>
    <s v="New Zealand"/>
    <s v="Agra"/>
    <s v="Chinese"/>
    <s v="Masala Dosa"/>
    <n v="4921"/>
    <n v="43.23"/>
    <n v="3.4"/>
    <n v="16.89"/>
    <n v="2"/>
    <n v="6"/>
    <n v="202.68"/>
    <n v="9.4499999999999993"/>
    <n v="193.23"/>
  </r>
  <r>
    <s v="D15B085D"/>
    <m/>
    <m/>
    <s v="CUST6074"/>
    <s v="Sara Patel"/>
    <s v="Philippines"/>
    <s v="Agra"/>
    <s v="North Indian"/>
    <s v="Sushi Platter"/>
    <n v="3387"/>
    <n v="38.19"/>
    <n v="2.8"/>
    <n v="6.88"/>
    <n v="4"/>
    <n v="20"/>
    <n v="550.4"/>
    <n v="7.95"/>
    <n v="542.45000000000005"/>
  </r>
  <r>
    <s v="ED15F5B1"/>
    <m/>
    <m/>
    <s v="CUST9930"/>
    <s v="Ahmed Brown"/>
    <s v="Australia"/>
    <s v="Agra"/>
    <s v="Cafe"/>
    <s v="Paneer Tikka"/>
    <n v="465"/>
    <n v="34.200000000000003"/>
    <n v="4.8"/>
    <n v="20.57"/>
    <n v="1"/>
    <n v="4"/>
    <n v="82.28"/>
    <n v="3.45"/>
    <n v="78.83"/>
  </r>
  <r>
    <s v="5D2A3818"/>
    <m/>
    <m/>
    <s v="CUST5343"/>
    <s v="Sara Garcia"/>
    <s v="Canada"/>
    <s v="Agra"/>
    <s v="Cafe"/>
    <s v="Pasta Alfredo"/>
    <n v="230"/>
    <n v="7.75"/>
    <n v="4.7"/>
    <n v="11.12"/>
    <n v="2"/>
    <n v="10"/>
    <n v="222.39999999999998"/>
    <n v="8.65"/>
    <n v="213.75"/>
  </r>
  <r>
    <s v="5967B58A"/>
    <m/>
    <m/>
    <s v="CUST9940"/>
    <s v="Emily Smith"/>
    <s v="Philippines"/>
    <s v="Agra"/>
    <s v="North Indian, Mughlai"/>
    <s v="Margherita Pizza"/>
    <n v="581"/>
    <n v="32.06"/>
    <n v="3.7"/>
    <n v="16.21"/>
    <n v="3"/>
    <n v="13"/>
    <n v="632.19000000000005"/>
    <n v="4.7699999999999996"/>
    <n v="627.41999999999996"/>
  </r>
  <r>
    <s v="76BC43CD"/>
    <m/>
    <m/>
    <s v="CUST3595"/>
    <s v="John Garcia"/>
    <s v="Qatar"/>
    <s v="Agra"/>
    <s v="North Indian, Chinese"/>
    <s v="Cheeseburger"/>
    <n v="2140"/>
    <n v="37.590000000000003"/>
    <n v="1.4"/>
    <n v="31.32"/>
    <n v="1"/>
    <n v="3"/>
    <n v="93.960000000000008"/>
    <n v="0.11"/>
    <n v="93.85"/>
  </r>
  <r>
    <s v="1FEEB2A5"/>
    <m/>
    <m/>
    <s v="CUST8326"/>
    <s v="Ahmed Garcia"/>
    <s v="Indonesia"/>
    <s v="Agra"/>
    <s v="North Indian, Mughlai"/>
    <s v="Sushi Platter"/>
    <n v="1414"/>
    <n v="28.16"/>
    <n v="4.2"/>
    <n v="38.42"/>
    <n v="3"/>
    <n v="7"/>
    <n v="806.82"/>
    <n v="7.88"/>
    <n v="798.94"/>
  </r>
  <r>
    <s v="74B37B77"/>
    <m/>
    <m/>
    <s v="CUST1900"/>
    <s v="Ravi Das"/>
    <s v="South Africa"/>
    <s v="Agra"/>
    <s v="North Indian"/>
    <s v="Veg Biryani"/>
    <n v="3511"/>
    <n v="24.07"/>
    <n v="3.3"/>
    <n v="7.7"/>
    <n v="2"/>
    <n v="15"/>
    <n v="231"/>
    <n v="2.3199999999999998"/>
    <n v="228.68"/>
  </r>
  <r>
    <s v="B0120C18"/>
    <m/>
    <m/>
    <s v="CUST5528"/>
    <s v="Sara Khan"/>
    <s v="Canada"/>
    <s v="Agra"/>
    <s v="Chinese"/>
    <s v="Tandoori Roti"/>
    <n v="2665"/>
    <n v="46.13"/>
    <n v="3.7"/>
    <n v="21.49"/>
    <n v="2"/>
    <n v="2"/>
    <n v="85.96"/>
    <n v="2.1"/>
    <n v="83.86"/>
  </r>
  <r>
    <s v="3D57F4E0"/>
    <m/>
    <m/>
    <s v="CUST3742"/>
    <s v="Ahmed Garcia"/>
    <s v="Canada"/>
    <s v="Agra"/>
    <s v="North Indian, Mughlai"/>
    <s v="Margherita Pizza"/>
    <n v="2083"/>
    <n v="46.17"/>
    <n v="2.9"/>
    <n v="39.14"/>
    <n v="2"/>
    <n v="9"/>
    <n v="704.52"/>
    <n v="4.0599999999999996"/>
    <n v="700.46"/>
  </r>
  <r>
    <s v="0811705A"/>
    <m/>
    <m/>
    <s v="CUST8493"/>
    <s v="Ahmed Patel"/>
    <s v="Indonesia"/>
    <s v="Agra"/>
    <s v="North Indian"/>
    <s v="Pasta Alfredo"/>
    <n v="1899"/>
    <n v="40.799999999999997"/>
    <n v="1.5"/>
    <n v="15.98"/>
    <n v="1"/>
    <n v="10"/>
    <n v="159.80000000000001"/>
    <n v="8.8000000000000007"/>
    <n v="151"/>
  </r>
  <r>
    <s v="2F06273B"/>
    <m/>
    <m/>
    <s v="CUST7691"/>
    <s v="Emily Das"/>
    <s v="Indonesia"/>
    <s v="Ahmedabad"/>
    <s v="Cafe"/>
    <s v="Masala Dosa"/>
    <n v="1862"/>
    <n v="17.670000000000002"/>
    <n v="3.8"/>
    <n v="26.52"/>
    <n v="3"/>
    <n v="16"/>
    <n v="1272.96"/>
    <n v="0.01"/>
    <n v="1272.95"/>
  </r>
  <r>
    <s v="CEE8A22D"/>
    <m/>
    <m/>
    <s v="CUST6956"/>
    <s v="Kumar Smith"/>
    <s v="New Zealand"/>
    <s v="Ahmedabad"/>
    <s v="North Indian, Chinese"/>
    <s v="Spring Rolls"/>
    <n v="2602"/>
    <n v="34.409999999999997"/>
    <n v="2.8"/>
    <n v="19.559999999999999"/>
    <n v="2"/>
    <n v="18"/>
    <n v="704.16"/>
    <n v="6.9"/>
    <n v="697.26"/>
  </r>
  <r>
    <s v="5CBEE46E"/>
    <m/>
    <m/>
    <s v="CUST2376"/>
    <s v="Sophia Singh"/>
    <s v="Qatar"/>
    <s v="Ahmedabad"/>
    <s v="Chinese"/>
    <s v="Grilled Sandwich"/>
    <n v="3660"/>
    <n v="28.61"/>
    <n v="4.2"/>
    <n v="6.99"/>
    <n v="4"/>
    <n v="20"/>
    <n v="559.20000000000005"/>
    <n v="5.56"/>
    <n v="553.64"/>
  </r>
  <r>
    <s v="23B042F9"/>
    <m/>
    <m/>
    <s v="CUST4776"/>
    <s v="Priya Patel"/>
    <s v="South Africa"/>
    <s v="Ahmedabad"/>
    <s v="North Indian"/>
    <s v="Grilled Sandwich"/>
    <n v="4657"/>
    <n v="30.56"/>
    <n v="2.1"/>
    <n v="29.85"/>
    <n v="2"/>
    <n v="4"/>
    <n v="238.8"/>
    <n v="0.05"/>
    <n v="238.75"/>
  </r>
  <r>
    <s v="3AE34CC2"/>
    <m/>
    <m/>
    <s v="CUST4843"/>
    <s v="Sophia Brown"/>
    <s v="Qatar"/>
    <s v="Ahmedabad"/>
    <s v="North Indian, Mughlai"/>
    <s v="Grilled Sandwich"/>
    <n v="4192"/>
    <n v="28.67"/>
    <n v="3.4"/>
    <n v="35.14"/>
    <n v="3"/>
    <n v="8"/>
    <n v="843.36"/>
    <n v="8.7200000000000006"/>
    <n v="834.64"/>
  </r>
  <r>
    <s v="F9C1AC77"/>
    <m/>
    <m/>
    <s v="CUST6529"/>
    <s v="Ahmed Sharma"/>
    <s v="India"/>
    <s v="Ahmedabad"/>
    <s v="Cafe"/>
    <s v="Grilled Sandwich"/>
    <n v="660"/>
    <n v="35.04"/>
    <n v="3.5"/>
    <n v="39.56"/>
    <n v="5"/>
    <n v="16"/>
    <n v="3164.8"/>
    <n v="3.23"/>
    <n v="3161.57"/>
  </r>
  <r>
    <s v="FAF77C36"/>
    <m/>
    <m/>
    <s v="CUST3168"/>
    <s v="Priya Singh"/>
    <s v="Indonesia"/>
    <s v="Ahmedabad"/>
    <s v="North Indian, Chinese"/>
    <s v="Cheeseburger"/>
    <n v="1080"/>
    <n v="32.72"/>
    <n v="2.9"/>
    <n v="25.76"/>
    <n v="4"/>
    <n v="14"/>
    <n v="1442.5600000000002"/>
    <n v="9.99"/>
    <n v="1432.57"/>
  </r>
  <r>
    <s v="AB979A8B"/>
    <m/>
    <m/>
    <s v="CUST6852"/>
    <s v="Ahmed Sharma"/>
    <s v="South Africa"/>
    <s v="Ahmedabad"/>
    <s v="North Indian, Chinese"/>
    <s v="Momos"/>
    <n v="1831"/>
    <n v="34.9"/>
    <n v="3.1"/>
    <n v="28.56"/>
    <n v="2"/>
    <n v="19"/>
    <n v="1085.28"/>
    <n v="4.8600000000000003"/>
    <n v="1080.42"/>
  </r>
  <r>
    <s v="270B05A3"/>
    <m/>
    <m/>
    <s v="CUST3721"/>
    <s v="John Singh"/>
    <s v="Indonesia"/>
    <s v="Ahmedabad"/>
    <s v="North Indian"/>
    <s v="Chicken Biryani"/>
    <n v="2571"/>
    <n v="41.63"/>
    <n v="3.9"/>
    <n v="17.649999999999999"/>
    <n v="1"/>
    <n v="20"/>
    <n v="353"/>
    <n v="9.3000000000000007"/>
    <n v="343.7"/>
  </r>
  <r>
    <s v="388280B1"/>
    <m/>
    <m/>
    <s v="CUST5196"/>
    <s v="Kumar Brown"/>
    <s v="India"/>
    <s v="Ahmedabad"/>
    <s v="North Indian"/>
    <s v="Masala Dosa"/>
    <n v="1524"/>
    <n v="7.59"/>
    <n v="3.4"/>
    <n v="32.18"/>
    <n v="4"/>
    <n v="17"/>
    <n v="2188.2399999999998"/>
    <n v="3.27"/>
    <n v="2184.9699999999998"/>
  </r>
  <r>
    <s v="86667D83"/>
    <m/>
    <m/>
    <s v="CUST4254"/>
    <s v="Kumar Smith"/>
    <s v="India"/>
    <s v="Ahmedabad"/>
    <s v="Chinese"/>
    <s v="Grilled Sandwich"/>
    <n v="979"/>
    <n v="13.78"/>
    <n v="3.1"/>
    <n v="7.46"/>
    <n v="5"/>
    <n v="1"/>
    <n v="37.299999999999997"/>
    <n v="5.91"/>
    <n v="31.39"/>
  </r>
  <r>
    <s v="A55D9038"/>
    <m/>
    <m/>
    <s v="CUST2626"/>
    <s v="Kumar Lee"/>
    <s v="Qatar"/>
    <s v="Ahmedabad"/>
    <s v="North Indian, Chinese"/>
    <s v="Paneer Tikka"/>
    <n v="847"/>
    <n v="10.72"/>
    <n v="2.6"/>
    <n v="38.68"/>
    <n v="5"/>
    <n v="2"/>
    <n v="386.8"/>
    <n v="2.12"/>
    <n v="384.68"/>
  </r>
  <r>
    <s v="4DDA78CA"/>
    <m/>
    <m/>
    <s v="CUST2526"/>
    <s v="Sara Sharma"/>
    <s v="South Africa"/>
    <s v="Ahmedabad"/>
    <s v="North Indian, Chinese"/>
    <s v="Veg Biryani"/>
    <n v="2035"/>
    <n v="29.63"/>
    <n v="2.2000000000000002"/>
    <n v="18.53"/>
    <n v="3"/>
    <n v="14"/>
    <n v="778.26"/>
    <n v="3.91"/>
    <n v="774.35"/>
  </r>
  <r>
    <s v="9FDFE8EB"/>
    <m/>
    <m/>
    <s v="CUST9569"/>
    <s v="Emily Sharma"/>
    <s v="Indonesia"/>
    <s v="Ahmedabad"/>
    <s v="Cafe"/>
    <s v="Masala Dosa"/>
    <n v="618"/>
    <n v="18.510000000000002"/>
    <n v="1.3"/>
    <n v="39.29"/>
    <n v="3"/>
    <n v="7"/>
    <n v="825.09"/>
    <n v="2.5099999999999998"/>
    <n v="822.58"/>
  </r>
  <r>
    <s v="BEC4D5E2"/>
    <m/>
    <m/>
    <s v="CUST2411"/>
    <s v="Ahmed Sharma"/>
    <s v="South Africa"/>
    <s v="Albany"/>
    <s v="Chinese"/>
    <s v="Margherita Pizza"/>
    <n v="3491"/>
    <n v="40.04"/>
    <n v="4.0999999999999996"/>
    <n v="31.94"/>
    <n v="5"/>
    <n v="6"/>
    <n v="958.2"/>
    <n v="9.4499999999999993"/>
    <n v="948.75"/>
  </r>
  <r>
    <s v="9729F9E2"/>
    <m/>
    <m/>
    <s v="CUST2649"/>
    <s v="John Taylor"/>
    <s v="New Zealand"/>
    <s v="Albany"/>
    <s v="Chinese"/>
    <s v="Tandoori Roti"/>
    <n v="1155"/>
    <n v="14.32"/>
    <n v="4"/>
    <n v="30.64"/>
    <n v="1"/>
    <n v="17"/>
    <n v="520.88"/>
    <n v="3.99"/>
    <n v="516.89"/>
  </r>
  <r>
    <s v="7F50FE80"/>
    <m/>
    <m/>
    <s v="CUST2874"/>
    <s v="Emily Smith"/>
    <s v="South Africa"/>
    <s v="Albany"/>
    <s v="Chinese"/>
    <s v="Cheeseburger"/>
    <n v="4702"/>
    <n v="49.61"/>
    <n v="2.8"/>
    <n v="31.04"/>
    <n v="3"/>
    <n v="2"/>
    <n v="186.24"/>
    <n v="8.51"/>
    <n v="177.73"/>
  </r>
  <r>
    <s v="44338A8C"/>
    <m/>
    <m/>
    <s v="CUST6397"/>
    <s v="John Patel"/>
    <s v="Singapore"/>
    <s v="Albany"/>
    <s v="North Indian, Chinese"/>
    <s v="Sushi Platter"/>
    <n v="4342"/>
    <n v="44.51"/>
    <n v="2.5"/>
    <n v="36.340000000000003"/>
    <n v="2"/>
    <n v="10"/>
    <n v="726.80000000000007"/>
    <n v="4.29"/>
    <n v="722.51"/>
  </r>
  <r>
    <s v="0FE58B75"/>
    <m/>
    <m/>
    <s v="CUST5913"/>
    <s v="John Sharma"/>
    <s v="Indonesia"/>
    <s v="Albany"/>
    <s v="North Indian"/>
    <s v="Veg Biryani"/>
    <n v="2323"/>
    <n v="32.299999999999997"/>
    <n v="4.9000000000000004"/>
    <n v="7.43"/>
    <n v="3"/>
    <n v="9"/>
    <n v="200.60999999999999"/>
    <n v="3.35"/>
    <n v="197.26"/>
  </r>
  <r>
    <s v="1F7E3611"/>
    <m/>
    <m/>
    <s v="CUST3940"/>
    <s v="Emily Smith"/>
    <s v="India"/>
    <s v="Albany"/>
    <s v="North Indian, Mughlai"/>
    <s v="Shawarma"/>
    <n v="852"/>
    <n v="44.15"/>
    <n v="3.5"/>
    <n v="23.96"/>
    <n v="1"/>
    <n v="13"/>
    <n v="311.48"/>
    <n v="0.35"/>
    <n v="311.13"/>
  </r>
  <r>
    <s v="BFC92D2D"/>
    <m/>
    <m/>
    <s v="CUST2483"/>
    <s v="Anita Garcia"/>
    <s v="India"/>
    <s v="Albany"/>
    <s v="North Indian, Chinese"/>
    <s v="Cheeseburger"/>
    <n v="3424"/>
    <n v="45.01"/>
    <n v="3.7"/>
    <n v="39.33"/>
    <n v="4"/>
    <n v="19"/>
    <n v="2989.08"/>
    <n v="0.21"/>
    <n v="2988.87"/>
  </r>
  <r>
    <s v="2F505C53"/>
    <m/>
    <m/>
    <s v="CUST5887"/>
    <s v="Kumar Patel"/>
    <s v="South Africa"/>
    <s v="Albany"/>
    <s v="North Indian"/>
    <s v="Grilled Sandwich"/>
    <n v="3787"/>
    <n v="19.75"/>
    <n v="3.6"/>
    <n v="37.840000000000003"/>
    <n v="4"/>
    <n v="9"/>
    <n v="1362.2400000000002"/>
    <n v="7.33"/>
    <n v="1354.91"/>
  </r>
  <r>
    <s v="0603450F"/>
    <m/>
    <m/>
    <s v="CUST3968"/>
    <s v="Emily Singh"/>
    <s v="Qatar"/>
    <s v="Albany"/>
    <s v="Chinese"/>
    <s v="Shawarma"/>
    <n v="2437"/>
    <n v="21.38"/>
    <n v="3.1"/>
    <n v="22.45"/>
    <n v="3"/>
    <n v="7"/>
    <n v="471.44999999999993"/>
    <n v="2.17"/>
    <n v="469.28"/>
  </r>
  <r>
    <s v="D781037C"/>
    <m/>
    <m/>
    <s v="CUST4005"/>
    <s v="David Singh"/>
    <s v="Canada"/>
    <s v="Albany"/>
    <s v="Cafe"/>
    <s v="Margherita Pizza"/>
    <n v="248"/>
    <n v="15.45"/>
    <n v="1.4"/>
    <n v="30.64"/>
    <n v="3"/>
    <n v="11"/>
    <n v="1011.12"/>
    <n v="0.97"/>
    <n v="1010.15"/>
  </r>
  <r>
    <s v="16B526DE"/>
    <m/>
    <m/>
    <s v="CUST6940"/>
    <s v="David Brown"/>
    <s v="Brazil"/>
    <s v="Albany"/>
    <s v="North Indian"/>
    <s v="Veg Biryani"/>
    <n v="362"/>
    <n v="43.33"/>
    <n v="2.4"/>
    <n v="8.6999999999999993"/>
    <n v="2"/>
    <n v="16"/>
    <n v="278.39999999999998"/>
    <n v="8.16"/>
    <n v="270.24"/>
  </r>
  <r>
    <s v="9CBF8EBA"/>
    <m/>
    <m/>
    <s v="CUST1138"/>
    <s v="John Patel"/>
    <s v="Philippines"/>
    <s v="Albany"/>
    <s v="Chinese"/>
    <s v="Chicken Biryani"/>
    <n v="894"/>
    <n v="14.1"/>
    <n v="1.7"/>
    <n v="6.15"/>
    <n v="4"/>
    <n v="6"/>
    <n v="147.60000000000002"/>
    <n v="9.44"/>
    <n v="138.16"/>
  </r>
  <r>
    <s v="B25E2A4F"/>
    <m/>
    <m/>
    <s v="CUST5025"/>
    <s v="Anita Singh"/>
    <s v="Australia"/>
    <s v="Albany"/>
    <s v="North Indian, Chinese"/>
    <s v="Tandoori Roti"/>
    <n v="1909"/>
    <n v="41.6"/>
    <n v="3.7"/>
    <n v="8.86"/>
    <n v="1"/>
    <n v="18"/>
    <n v="159.47999999999999"/>
    <n v="7.33"/>
    <n v="152.15"/>
  </r>
  <r>
    <s v="E7F65B56"/>
    <m/>
    <m/>
    <s v="CUST4004"/>
    <s v="Kumar Lee"/>
    <s v="Australia"/>
    <s v="Albany"/>
    <s v="North Indian"/>
    <s v="Shawarma"/>
    <n v="2989"/>
    <n v="36.22"/>
    <n v="2.8"/>
    <n v="25.23"/>
    <n v="5"/>
    <n v="10"/>
    <n v="1261.5"/>
    <n v="4.28"/>
    <n v="1257.22"/>
  </r>
  <r>
    <s v="96C84CD7"/>
    <m/>
    <m/>
    <s v="CUST3213"/>
    <s v="Ahmed Das"/>
    <s v="Australia"/>
    <s v="Allahabad"/>
    <s v="North Indian, Mughlai"/>
    <s v="Spring Rolls"/>
    <n v="4225"/>
    <n v="5.4"/>
    <n v="3.3"/>
    <n v="17.920000000000002"/>
    <n v="5"/>
    <n v="3"/>
    <n v="268.8"/>
    <n v="9.9"/>
    <n v="258.89999999999998"/>
  </r>
  <r>
    <s v="0B1BB900"/>
    <m/>
    <m/>
    <s v="CUST5904"/>
    <s v="Emily Khan"/>
    <s v="Brazil"/>
    <s v="Allahabad"/>
    <s v="Cafe"/>
    <s v="Masala Dosa"/>
    <n v="3412"/>
    <n v="43.34"/>
    <n v="1.4"/>
    <n v="35.229999999999997"/>
    <n v="2"/>
    <n v="10"/>
    <n v="704.59999999999991"/>
    <n v="6.96"/>
    <n v="697.64"/>
  </r>
  <r>
    <s v="FBEF530B"/>
    <m/>
    <m/>
    <s v="CUST7650"/>
    <s v="Ahmed Brown"/>
    <s v="Canada"/>
    <s v="Allahabad"/>
    <s v="North Indian, Mughlai"/>
    <s v="Pasta Alfredo"/>
    <n v="4413"/>
    <n v="34.79"/>
    <n v="2.6"/>
    <n v="15.11"/>
    <n v="2"/>
    <n v="1"/>
    <n v="30.22"/>
    <n v="4.1500000000000004"/>
    <n v="26.07"/>
  </r>
  <r>
    <s v="62A78ADA"/>
    <m/>
    <m/>
    <s v="CUST7439"/>
    <s v="Sara Lee"/>
    <s v="Singapore"/>
    <s v="Allahabad"/>
    <s v="North Indian, Mughlai"/>
    <s v="Masala Dosa"/>
    <n v="2821"/>
    <n v="23.54"/>
    <n v="4.7"/>
    <n v="17.8"/>
    <n v="5"/>
    <n v="11"/>
    <n v="979"/>
    <n v="7.04"/>
    <n v="971.96"/>
  </r>
  <r>
    <s v="3FCF444D"/>
    <m/>
    <m/>
    <s v="CUST2992"/>
    <s v="John Khan"/>
    <s v="New Zealand"/>
    <s v="Allahabad"/>
    <s v="North Indian, Mughlai"/>
    <s v="Veg Biryani"/>
    <n v="4158"/>
    <n v="45.54"/>
    <n v="1.7"/>
    <n v="7.98"/>
    <n v="5"/>
    <n v="8"/>
    <n v="319.20000000000005"/>
    <n v="1.31"/>
    <n v="317.89"/>
  </r>
  <r>
    <s v="32E9EC4A"/>
    <m/>
    <m/>
    <s v="CUST4692"/>
    <s v="Emily Brown"/>
    <s v="Philippines"/>
    <s v="Allahabad"/>
    <s v="North Indian"/>
    <s v="Fried Rice"/>
    <n v="2757"/>
    <n v="34.22"/>
    <n v="2.2000000000000002"/>
    <n v="26.88"/>
    <n v="1"/>
    <n v="2"/>
    <n v="53.76"/>
    <n v="4.4000000000000004"/>
    <n v="49.36"/>
  </r>
  <r>
    <s v="804DBE16"/>
    <m/>
    <m/>
    <s v="CUST8498"/>
    <s v="Anita Taylor"/>
    <s v="South Africa"/>
    <s v="Allahabad"/>
    <s v="North Indian, Mughlai"/>
    <s v="Sushi Platter"/>
    <n v="2135"/>
    <n v="20.87"/>
    <n v="2.5"/>
    <n v="23.61"/>
    <n v="1"/>
    <n v="8"/>
    <n v="188.88"/>
    <n v="5.48"/>
    <n v="183.4"/>
  </r>
  <r>
    <s v="3A3BFCB1"/>
    <m/>
    <m/>
    <s v="CUST3662"/>
    <s v="Kumar Garcia"/>
    <s v="Brazil"/>
    <s v="Allahabad"/>
    <s v="North Indian, Mughlai"/>
    <s v="Fried Rice"/>
    <n v="1315"/>
    <n v="16.07"/>
    <n v="3.1"/>
    <n v="17.29"/>
    <n v="4"/>
    <n v="19"/>
    <n v="1314.04"/>
    <n v="0.51"/>
    <n v="1313.53"/>
  </r>
  <r>
    <s v="1394AE83"/>
    <m/>
    <m/>
    <s v="CUST1579"/>
    <s v="Anita Patel"/>
    <s v="Philippines"/>
    <s v="Allahabad"/>
    <s v="North Indian"/>
    <s v="Grilled Sandwich"/>
    <n v="1628"/>
    <n v="48.46"/>
    <n v="4.4000000000000004"/>
    <n v="20.74"/>
    <n v="3"/>
    <n v="10"/>
    <n v="622.20000000000005"/>
    <n v="6.16"/>
    <n v="616.04"/>
  </r>
  <r>
    <s v="2CA5C96D"/>
    <m/>
    <m/>
    <s v="CUST2961"/>
    <s v="Kumar Lee"/>
    <s v="Philippines"/>
    <s v="Allahabad"/>
    <s v="Cafe"/>
    <s v="Butter Chicken"/>
    <n v="1092"/>
    <n v="7.4"/>
    <n v="2.4"/>
    <n v="19.27"/>
    <n v="5"/>
    <n v="19"/>
    <n v="1830.6499999999999"/>
    <n v="2.56"/>
    <n v="1828.09"/>
  </r>
  <r>
    <s v="1CBFAADA"/>
    <m/>
    <m/>
    <s v="CUST7626"/>
    <s v="Sophia Sharma"/>
    <s v="Singapore"/>
    <s v="Allahabad"/>
    <s v="North Indian, Mughlai"/>
    <s v="Masala Dosa"/>
    <n v="1267"/>
    <n v="41.09"/>
    <n v="3.3"/>
    <n v="23.08"/>
    <n v="2"/>
    <n v="14"/>
    <n v="646.24"/>
    <n v="8.23"/>
    <n v="638.01"/>
  </r>
  <r>
    <s v="27BAC1BE"/>
    <m/>
    <m/>
    <s v="CUST7563"/>
    <s v="Sophia Brown"/>
    <s v="South Africa"/>
    <s v="Allahabad"/>
    <s v="Chinese"/>
    <s v="Paneer Tikka"/>
    <n v="4180"/>
    <n v="28.39"/>
    <n v="1.8"/>
    <n v="13.94"/>
    <n v="2"/>
    <n v="3"/>
    <n v="83.64"/>
    <n v="5.17"/>
    <n v="78.47"/>
  </r>
  <r>
    <s v="0CCDAFE1"/>
    <m/>
    <m/>
    <s v="CUST4066"/>
    <s v="Ahmed Lee"/>
    <s v="Qatar"/>
    <s v="Allahabad"/>
    <s v="Chinese"/>
    <s v="Butter Chicken"/>
    <n v="2629"/>
    <n v="34.770000000000003"/>
    <n v="3.3"/>
    <n v="16.36"/>
    <n v="3"/>
    <n v="3"/>
    <n v="147.24"/>
    <n v="5.28"/>
    <n v="141.96"/>
  </r>
  <r>
    <s v="5D7F07B2"/>
    <m/>
    <m/>
    <s v="CUST9893"/>
    <s v="David Das"/>
    <s v="Canada"/>
    <s v="Allahabad"/>
    <s v="Cafe"/>
    <s v="Chicken Biryani"/>
    <n v="2816"/>
    <n v="20.89"/>
    <n v="4.2"/>
    <n v="13.27"/>
    <n v="5"/>
    <n v="19"/>
    <n v="1260.6499999999999"/>
    <n v="9.49"/>
    <n v="1251.1600000000001"/>
  </r>
  <r>
    <s v="EA6D79CB"/>
    <m/>
    <m/>
    <s v="CUST6471"/>
    <s v="Sara Patel"/>
    <s v="Indonesia"/>
    <s v="Amritsar"/>
    <s v="North Indian, Chinese"/>
    <s v="Cheeseburger"/>
    <n v="553"/>
    <n v="29.4"/>
    <n v="2"/>
    <n v="17.61"/>
    <n v="4"/>
    <n v="4"/>
    <n v="281.76"/>
    <n v="9.67"/>
    <n v="272.08999999999997"/>
  </r>
  <r>
    <s v="F90B7C0F"/>
    <m/>
    <m/>
    <s v="CUST7074"/>
    <s v="Sophia Lee"/>
    <s v="Canada"/>
    <s v="Amritsar"/>
    <s v="North Indian, Chinese"/>
    <s v="Pasta Alfredo"/>
    <n v="4406"/>
    <n v="28.28"/>
    <n v="2"/>
    <n v="24.48"/>
    <n v="4"/>
    <n v="20"/>
    <n v="1958.4"/>
    <n v="2.0699999999999998"/>
    <n v="1956.33"/>
  </r>
  <r>
    <s v="E0A418D7"/>
    <m/>
    <m/>
    <s v="CUST9387"/>
    <s v="Sophia Taylor"/>
    <s v="Australia"/>
    <s v="Amritsar"/>
    <s v="North Indian"/>
    <s v="Spring Rolls"/>
    <n v="3314"/>
    <n v="15.14"/>
    <n v="2.8"/>
    <n v="31.02"/>
    <n v="5"/>
    <n v="17"/>
    <n v="2636.7"/>
    <n v="7.9"/>
    <n v="2628.8"/>
  </r>
  <r>
    <s v="E201A73E"/>
    <m/>
    <m/>
    <s v="CUST8909"/>
    <s v="John Taylor"/>
    <s v="South Africa"/>
    <s v="Amritsar"/>
    <s v="Chinese"/>
    <s v="Shawarma"/>
    <n v="1406"/>
    <n v="25.9"/>
    <n v="4.2"/>
    <n v="5.82"/>
    <n v="4"/>
    <n v="19"/>
    <n v="442.32000000000005"/>
    <n v="8.57"/>
    <n v="433.75"/>
  </r>
  <r>
    <s v="12C2F493"/>
    <m/>
    <m/>
    <s v="CUST3652"/>
    <s v="David Singh"/>
    <s v="Indonesia"/>
    <s v="Amritsar"/>
    <s v="North Indian, Mughlai"/>
    <s v="Pasta Alfredo"/>
    <n v="4048"/>
    <n v="31.62"/>
    <n v="4.2"/>
    <n v="14.96"/>
    <n v="4"/>
    <n v="14"/>
    <n v="837.76"/>
    <n v="2.36"/>
    <n v="835.4"/>
  </r>
  <r>
    <s v="0FCF0AFE"/>
    <m/>
    <m/>
    <s v="CUST9718"/>
    <s v="John Singh"/>
    <s v="Canada"/>
    <s v="Amritsar"/>
    <s v="Cafe"/>
    <s v="Masala Dosa"/>
    <n v="728"/>
    <n v="17.34"/>
    <n v="2.9"/>
    <n v="11.28"/>
    <n v="5"/>
    <n v="18"/>
    <n v="1015.1999999999999"/>
    <n v="1.22"/>
    <n v="1013.98"/>
  </r>
  <r>
    <s v="7971EA79"/>
    <m/>
    <m/>
    <s v="CUST9569"/>
    <s v="Ahmed Patel"/>
    <s v="Canada"/>
    <s v="Amritsar"/>
    <s v="Cafe"/>
    <s v="Spring Rolls"/>
    <n v="1501"/>
    <n v="12.58"/>
    <n v="4.4000000000000004"/>
    <n v="31.44"/>
    <n v="2"/>
    <n v="10"/>
    <n v="628.80000000000007"/>
    <n v="4.38"/>
    <n v="624.41999999999996"/>
  </r>
  <r>
    <s v="5A82390C"/>
    <m/>
    <m/>
    <s v="CUST4472"/>
    <s v="Anita Das"/>
    <s v="South Africa"/>
    <s v="Amritsar"/>
    <s v="North Indian, Chinese"/>
    <s v="Chicken Biryani"/>
    <n v="3009"/>
    <n v="17.510000000000002"/>
    <n v="2.9"/>
    <n v="29.92"/>
    <n v="5"/>
    <n v="18"/>
    <n v="2692.8"/>
    <n v="3.44"/>
    <n v="2689.36"/>
  </r>
  <r>
    <s v="E54ABC07"/>
    <m/>
    <m/>
    <s v="CUST6402"/>
    <s v="Sophia Khan"/>
    <s v="Singapore"/>
    <s v="Amritsar"/>
    <s v="North Indian, Mughlai"/>
    <s v="Grilled Sandwich"/>
    <n v="3896"/>
    <n v="37.61"/>
    <n v="4.5"/>
    <n v="17.73"/>
    <n v="1"/>
    <n v="6"/>
    <n v="106.38"/>
    <n v="8.34"/>
    <n v="98.04"/>
  </r>
  <r>
    <s v="2C32A83B"/>
    <m/>
    <m/>
    <s v="CUST6396"/>
    <s v="Kumar Garcia"/>
    <s v="Qatar"/>
    <s v="Amritsar"/>
    <s v="North Indian"/>
    <s v="Tandoori Roti"/>
    <n v="2581"/>
    <n v="30.14"/>
    <n v="4.8"/>
    <n v="7.46"/>
    <n v="1"/>
    <n v="15"/>
    <n v="111.9"/>
    <n v="0.84"/>
    <n v="111.06"/>
  </r>
  <r>
    <s v="6F1DEA4E"/>
    <m/>
    <m/>
    <s v="CUST6614"/>
    <s v="Ahmed Lee"/>
    <s v="Qatar"/>
    <s v="Amritsar"/>
    <s v="North Indian, Chinese"/>
    <s v="Margherita Pizza"/>
    <n v="1231"/>
    <n v="40"/>
    <n v="1.9"/>
    <n v="38.01"/>
    <n v="1"/>
    <n v="12"/>
    <n v="456.12"/>
    <n v="5.94"/>
    <n v="450.18"/>
  </r>
  <r>
    <s v="E100DA76"/>
    <m/>
    <m/>
    <s v="CUST7157"/>
    <s v="Priya Khan"/>
    <s v="Indonesia"/>
    <s v="Amritsar"/>
    <s v="North Indian"/>
    <s v="Masala Dosa"/>
    <n v="1293"/>
    <n v="48.15"/>
    <n v="4.5"/>
    <n v="32.79"/>
    <n v="5"/>
    <n v="2"/>
    <n v="327.9"/>
    <n v="2.5299999999999998"/>
    <n v="325.37"/>
  </r>
  <r>
    <s v="5BA20105"/>
    <m/>
    <m/>
    <s v="CUST8712"/>
    <s v="Sophia Brown"/>
    <s v="New Zealand"/>
    <s v="Amritsar"/>
    <s v="North Indian, Mughlai"/>
    <s v="Butter Chicken"/>
    <n v="3801"/>
    <n v="26.26"/>
    <n v="3.3"/>
    <n v="24.72"/>
    <n v="2"/>
    <n v="5"/>
    <n v="247.2"/>
    <n v="8.77"/>
    <n v="238.43"/>
  </r>
  <r>
    <s v="F3437C6A"/>
    <m/>
    <m/>
    <s v="CUST6116"/>
    <s v="Ahmed Khan"/>
    <s v="South Africa"/>
    <s v="Ankara"/>
    <s v="Chinese"/>
    <s v="Momos"/>
    <n v="4496"/>
    <n v="12.1"/>
    <n v="4.3"/>
    <n v="11.63"/>
    <n v="5"/>
    <n v="7"/>
    <n v="407.05000000000007"/>
    <n v="1.97"/>
    <n v="405.08"/>
  </r>
  <r>
    <s v="4EB90E03"/>
    <m/>
    <m/>
    <s v="CUST8122"/>
    <s v="Sara Garcia"/>
    <s v="Qatar"/>
    <s v="Ankara"/>
    <s v="North Indian, Mughlai"/>
    <s v="Spring Rolls"/>
    <n v="3454"/>
    <n v="46.53"/>
    <n v="4.0999999999999996"/>
    <n v="27.24"/>
    <n v="4"/>
    <n v="18"/>
    <n v="1961.28"/>
    <n v="9.99"/>
    <n v="1951.29"/>
  </r>
  <r>
    <s v="21C13757"/>
    <m/>
    <m/>
    <s v="CUST3076"/>
    <s v="Anita Sharma"/>
    <s v="Singapore"/>
    <s v="Ankara"/>
    <s v="North Indian, Chinese"/>
    <s v="Momos"/>
    <n v="3247"/>
    <n v="26.96"/>
    <n v="1.6"/>
    <n v="21.41"/>
    <n v="1"/>
    <n v="4"/>
    <n v="85.64"/>
    <n v="7.08"/>
    <n v="78.56"/>
  </r>
  <r>
    <s v="5D3DCD6F"/>
    <m/>
    <m/>
    <s v="CUST8764"/>
    <s v="Sophia Das"/>
    <s v="South Africa"/>
    <s v="Ankara"/>
    <s v="North Indian, Chinese"/>
    <s v="Cheeseburger"/>
    <n v="4736"/>
    <n v="31.79"/>
    <n v="1.3"/>
    <n v="11.99"/>
    <n v="1"/>
    <n v="7"/>
    <n v="83.93"/>
    <n v="1.98"/>
    <n v="81.95"/>
  </r>
  <r>
    <s v="94D19C2A"/>
    <m/>
    <m/>
    <s v="CUST2034"/>
    <s v="David Taylor"/>
    <s v="South Africa"/>
    <s v="Ankara"/>
    <s v="North Indian"/>
    <s v="Tandoori Roti"/>
    <n v="911"/>
    <n v="8.66"/>
    <n v="4.0999999999999996"/>
    <n v="22.01"/>
    <n v="2"/>
    <n v="3"/>
    <n v="132.06"/>
    <n v="4.96"/>
    <n v="127.1"/>
  </r>
  <r>
    <s v="C7325674"/>
    <m/>
    <m/>
    <s v="CUST8426"/>
    <s v="John Das"/>
    <s v="Australia"/>
    <s v="Ankara"/>
    <s v="North Indian, Mughlai"/>
    <s v="Pasta Alfredo"/>
    <n v="3484"/>
    <n v="29.35"/>
    <n v="3.3"/>
    <n v="8.14"/>
    <n v="2"/>
    <n v="18"/>
    <n v="293.04000000000002"/>
    <n v="8.77"/>
    <n v="284.27"/>
  </r>
  <r>
    <s v="741924C8"/>
    <m/>
    <m/>
    <s v="CUST3127"/>
    <s v="Ahmed Das"/>
    <s v="Qatar"/>
    <s v="Ankara"/>
    <s v="North Indian, Mughlai"/>
    <s v="Grilled Sandwich"/>
    <n v="1590"/>
    <n v="27.96"/>
    <n v="2.2000000000000002"/>
    <n v="22.17"/>
    <n v="3"/>
    <n v="17"/>
    <n v="1130.67"/>
    <n v="6.41"/>
    <n v="1124.26"/>
  </r>
  <r>
    <s v="B02E63A1"/>
    <m/>
    <m/>
    <s v="CUST7686"/>
    <s v="David Sharma"/>
    <s v="South Africa"/>
    <s v="Ankara"/>
    <s v="Cafe"/>
    <s v="Grilled Sandwich"/>
    <n v="2051"/>
    <n v="38.29"/>
    <n v="3.2"/>
    <n v="18.809999999999999"/>
    <n v="4"/>
    <n v="7"/>
    <n v="526.67999999999995"/>
    <n v="4.82"/>
    <n v="521.86"/>
  </r>
  <r>
    <s v="4E37ED8D"/>
    <m/>
    <m/>
    <s v="CUST8261"/>
    <s v="David Garcia"/>
    <s v="Brazil"/>
    <s v="Ankara"/>
    <s v="North Indian"/>
    <s v="Pasta Alfredo"/>
    <n v="1557"/>
    <n v="10.99"/>
    <n v="4.3"/>
    <n v="37.450000000000003"/>
    <n v="3"/>
    <n v="6"/>
    <n v="674.1"/>
    <n v="1.53"/>
    <n v="672.57"/>
  </r>
  <r>
    <s v="62063E47"/>
    <m/>
    <m/>
    <s v="CUST4569"/>
    <s v="David Taylor"/>
    <s v="Indonesia"/>
    <s v="Ankara"/>
    <s v="North Indian, Mughlai"/>
    <s v="Grilled Sandwich"/>
    <n v="3406"/>
    <n v="42.86"/>
    <n v="3.4"/>
    <n v="17.79"/>
    <n v="3"/>
    <n v="11"/>
    <n v="587.06999999999994"/>
    <n v="2.97"/>
    <n v="584.1"/>
  </r>
  <r>
    <s v="34D84AAC"/>
    <m/>
    <m/>
    <s v="CUST3208"/>
    <s v="Kumar Sharma"/>
    <s v="Australia"/>
    <s v="Ankara"/>
    <s v="North Indian, Chinese"/>
    <s v="Masala Dosa"/>
    <n v="2543"/>
    <n v="8.8800000000000008"/>
    <n v="4.4000000000000004"/>
    <n v="8.42"/>
    <n v="5"/>
    <n v="20"/>
    <n v="842"/>
    <n v="9.7200000000000006"/>
    <n v="832.28"/>
  </r>
  <r>
    <s v="965A428F"/>
    <m/>
    <m/>
    <s v="CUST4191"/>
    <s v="Sophia Brown"/>
    <s v="India"/>
    <s v="Ankara"/>
    <s v="North Indian, Chinese"/>
    <s v="Masala Dosa"/>
    <n v="3347"/>
    <n v="11.77"/>
    <n v="2.2999999999999998"/>
    <n v="17.55"/>
    <n v="2"/>
    <n v="17"/>
    <n v="596.70000000000005"/>
    <n v="3.65"/>
    <n v="593.04999999999995"/>
  </r>
  <r>
    <s v="DF3FBD4D"/>
    <m/>
    <m/>
    <s v="CUST7876"/>
    <s v="John Patel"/>
    <s v="Philippines"/>
    <s v="Athens"/>
    <s v="North Indian, Mughlai"/>
    <s v="Grilled Sandwich"/>
    <n v="4892"/>
    <n v="27.91"/>
    <n v="4.5999999999999996"/>
    <n v="24.86"/>
    <n v="4"/>
    <n v="5"/>
    <n v="497.2"/>
    <n v="3.39"/>
    <n v="493.81"/>
  </r>
  <r>
    <s v="9E04F377"/>
    <m/>
    <m/>
    <s v="CUST5047"/>
    <s v="Priya Lee"/>
    <s v="Singapore"/>
    <s v="Athens"/>
    <s v="Chinese"/>
    <s v="Pasta Alfredo"/>
    <n v="3582"/>
    <n v="15.15"/>
    <n v="3.1"/>
    <n v="38.21"/>
    <n v="1"/>
    <n v="18"/>
    <n v="687.78"/>
    <n v="7.77"/>
    <n v="680.01"/>
  </r>
  <r>
    <s v="D2F708BC"/>
    <m/>
    <m/>
    <s v="CUST9113"/>
    <s v="Kumar Garcia"/>
    <s v="Brazil"/>
    <s v="Athens"/>
    <s v="Chinese"/>
    <s v="Masala Dosa"/>
    <n v="1020"/>
    <n v="25.14"/>
    <n v="4.3"/>
    <n v="20.170000000000002"/>
    <n v="3"/>
    <n v="8"/>
    <n v="484.08000000000004"/>
    <n v="9.93"/>
    <n v="474.15"/>
  </r>
  <r>
    <s v="6798D0C6"/>
    <m/>
    <m/>
    <s v="CUST2472"/>
    <s v="Ahmed Lee"/>
    <s v="Qatar"/>
    <s v="Athens"/>
    <s v="North Indian, Chinese"/>
    <s v="Cheeseburger"/>
    <n v="946"/>
    <n v="10.33"/>
    <n v="2.9"/>
    <n v="11.86"/>
    <n v="5"/>
    <n v="10"/>
    <n v="593"/>
    <n v="9.11"/>
    <n v="583.89"/>
  </r>
  <r>
    <s v="D0F57EF1"/>
    <m/>
    <m/>
    <s v="CUST8657"/>
    <s v="Anita Brown"/>
    <s v="Qatar"/>
    <s v="Athens"/>
    <s v="Chinese"/>
    <s v="Spring Rolls"/>
    <n v="2638"/>
    <n v="41.01"/>
    <n v="3.8"/>
    <n v="18.72"/>
    <n v="5"/>
    <n v="7"/>
    <n v="655.19999999999993"/>
    <n v="8.2799999999999994"/>
    <n v="646.91999999999996"/>
  </r>
  <r>
    <s v="2B83FC79"/>
    <m/>
    <m/>
    <s v="CUST7731"/>
    <s v="Anita Patel"/>
    <s v="Singapore"/>
    <s v="Athens"/>
    <s v="Cafe"/>
    <s v="Shawarma"/>
    <n v="2261"/>
    <n v="32.19"/>
    <n v="1.5"/>
    <n v="12.27"/>
    <n v="2"/>
    <n v="15"/>
    <n v="368.09999999999997"/>
    <n v="3.64"/>
    <n v="364.46"/>
  </r>
  <r>
    <s v="10EC1FE4"/>
    <m/>
    <m/>
    <s v="CUST2505"/>
    <s v="Anita Brown"/>
    <s v="Australia"/>
    <s v="Athens"/>
    <s v="Cafe"/>
    <s v="Veg Biryani"/>
    <n v="2851"/>
    <n v="17.25"/>
    <n v="1.7"/>
    <n v="30.7"/>
    <n v="1"/>
    <n v="13"/>
    <n v="399.09999999999997"/>
    <n v="9.1199999999999992"/>
    <n v="389.98"/>
  </r>
  <r>
    <s v="65F601AF"/>
    <m/>
    <m/>
    <s v="CUST7685"/>
    <s v="Sophia Das"/>
    <s v="Indonesia"/>
    <s v="Athens"/>
    <s v="Cafe"/>
    <s v="Veg Biryani"/>
    <n v="388"/>
    <n v="45.15"/>
    <n v="3.5"/>
    <n v="7.79"/>
    <n v="1"/>
    <n v="16"/>
    <n v="124.64"/>
    <n v="4.93"/>
    <n v="119.71"/>
  </r>
  <r>
    <s v="0A5CFE83"/>
    <m/>
    <m/>
    <s v="CUST6860"/>
    <s v="David Brown"/>
    <s v="India"/>
    <s v="Athens"/>
    <s v="Chinese"/>
    <s v="Spring Rolls"/>
    <n v="1895"/>
    <n v="13.83"/>
    <n v="2.2999999999999998"/>
    <n v="24.82"/>
    <n v="4"/>
    <n v="3"/>
    <n v="297.84000000000003"/>
    <n v="2.59"/>
    <n v="295.25"/>
  </r>
  <r>
    <s v="DD75DA32"/>
    <m/>
    <m/>
    <s v="CUST6407"/>
    <s v="Sophia Khan"/>
    <s v="South Africa"/>
    <s v="Athens"/>
    <s v="North Indian"/>
    <s v="Veg Biryani"/>
    <n v="4913"/>
    <n v="43.29"/>
    <n v="1.6"/>
    <n v="26.31"/>
    <n v="2"/>
    <n v="1"/>
    <n v="52.62"/>
    <n v="0.38"/>
    <n v="52.24"/>
  </r>
  <r>
    <s v="64353608"/>
    <m/>
    <m/>
    <s v="CUST2176"/>
    <s v="Emily Sharma"/>
    <s v="Canada"/>
    <s v="Athens"/>
    <s v="Chinese"/>
    <s v="Masala Dosa"/>
    <n v="591"/>
    <n v="24.57"/>
    <n v="2.4"/>
    <n v="6.36"/>
    <n v="1"/>
    <n v="5"/>
    <n v="31.8"/>
    <n v="8.0500000000000007"/>
    <n v="23.75"/>
  </r>
  <r>
    <s v="331F69C5"/>
    <m/>
    <m/>
    <s v="CUST5266"/>
    <s v="Anita Brown"/>
    <s v="Qatar"/>
    <s v="Athens"/>
    <s v="North Indian"/>
    <s v="Sushi Platter"/>
    <n v="1542"/>
    <n v="45.49"/>
    <n v="3.4"/>
    <n v="23.3"/>
    <n v="4"/>
    <n v="8"/>
    <n v="745.6"/>
    <n v="5.98"/>
    <n v="739.62"/>
  </r>
  <r>
    <s v="E30AA939"/>
    <m/>
    <m/>
    <s v="CUST5581"/>
    <s v="Ravi Khan"/>
    <s v="Indonesia"/>
    <s v="Athens"/>
    <s v="North Indian"/>
    <s v="Grilled Sandwich"/>
    <n v="3320"/>
    <n v="37.42"/>
    <n v="4.4000000000000004"/>
    <n v="12.96"/>
    <n v="3"/>
    <n v="18"/>
    <n v="699.84"/>
    <n v="7.1"/>
    <n v="692.74"/>
  </r>
  <r>
    <s v="A51DB226"/>
    <m/>
    <m/>
    <s v="CUST9860"/>
    <s v="Anita Taylor"/>
    <s v="South Africa"/>
    <s v="Auckland"/>
    <s v="Chinese"/>
    <s v="Momos"/>
    <n v="3207"/>
    <n v="33.35"/>
    <n v="4"/>
    <n v="12.97"/>
    <n v="1"/>
    <n v="10"/>
    <n v="129.70000000000002"/>
    <n v="6.7"/>
    <n v="123"/>
  </r>
  <r>
    <s v="96E770D5"/>
    <m/>
    <m/>
    <s v="CUST3290"/>
    <s v="Sophia Singh"/>
    <s v="New Zealand"/>
    <s v="Auckland"/>
    <s v="Chinese"/>
    <s v="Butter Chicken"/>
    <n v="2258"/>
    <n v="21.12"/>
    <n v="3"/>
    <n v="19.78"/>
    <n v="1"/>
    <n v="19"/>
    <n v="375.82000000000005"/>
    <n v="7.37"/>
    <n v="368.45"/>
  </r>
  <r>
    <s v="9C24C20B"/>
    <m/>
    <m/>
    <s v="CUST1649"/>
    <s v="David Sharma"/>
    <s v="South Africa"/>
    <s v="Auckland"/>
    <s v="North Indian, Mughlai"/>
    <s v="Margherita Pizza"/>
    <n v="2855"/>
    <n v="18.68"/>
    <n v="4.3"/>
    <n v="26.74"/>
    <n v="4"/>
    <n v="1"/>
    <n v="106.96"/>
    <n v="7.68"/>
    <n v="99.28"/>
  </r>
  <r>
    <s v="465832CB"/>
    <m/>
    <m/>
    <s v="CUST2145"/>
    <s v="David Smith"/>
    <s v="Australia"/>
    <s v="Auckland"/>
    <s v="North Indian"/>
    <s v="Cheeseburger"/>
    <n v="935"/>
    <n v="39.94"/>
    <n v="2.1"/>
    <n v="24.14"/>
    <n v="1"/>
    <n v="13"/>
    <n v="313.82"/>
    <n v="2.11"/>
    <n v="311.70999999999998"/>
  </r>
  <r>
    <s v="5FCD3021"/>
    <m/>
    <m/>
    <s v="CUST8919"/>
    <s v="John Khan"/>
    <s v="Australia"/>
    <s v="Auckland"/>
    <s v="North Indian"/>
    <s v="Momos"/>
    <n v="4623"/>
    <n v="41.2"/>
    <n v="1.6"/>
    <n v="26.61"/>
    <n v="5"/>
    <n v="6"/>
    <n v="798.30000000000007"/>
    <n v="3.99"/>
    <n v="794.31"/>
  </r>
  <r>
    <s v="B41C357C"/>
    <m/>
    <m/>
    <s v="CUST5729"/>
    <s v="Ahmed Garcia"/>
    <s v="Philippines"/>
    <s v="Auckland"/>
    <s v="North Indian, Mughlai"/>
    <s v="Margherita Pizza"/>
    <n v="1979"/>
    <n v="14.08"/>
    <n v="3.9"/>
    <n v="25.05"/>
    <n v="5"/>
    <n v="2"/>
    <n v="250.5"/>
    <n v="4.62"/>
    <n v="245.88"/>
  </r>
  <r>
    <s v="38E42FB6"/>
    <m/>
    <m/>
    <s v="CUST1525"/>
    <s v="Priya Garcia"/>
    <s v="Qatar"/>
    <s v="Auckland"/>
    <s v="Chinese"/>
    <s v="Pasta Alfredo"/>
    <n v="2910"/>
    <n v="25.12"/>
    <n v="4.7"/>
    <n v="28.75"/>
    <n v="3"/>
    <n v="4"/>
    <n v="345"/>
    <n v="7.33"/>
    <n v="337.67"/>
  </r>
  <r>
    <s v="A5C9BDE1"/>
    <m/>
    <m/>
    <s v="CUST2532"/>
    <s v="Ravi Taylor"/>
    <s v="Philippines"/>
    <s v="Auckland"/>
    <s v="North Indian, Chinese"/>
    <s v="Masala Dosa"/>
    <n v="4757"/>
    <n v="41.64"/>
    <n v="4.0999999999999996"/>
    <n v="5.64"/>
    <n v="3"/>
    <n v="13"/>
    <n v="219.95999999999998"/>
    <n v="9.94"/>
    <n v="210.02"/>
  </r>
  <r>
    <s v="14764B45"/>
    <m/>
    <m/>
    <s v="CUST5455"/>
    <s v="Sophia Garcia"/>
    <s v="Philippines"/>
    <s v="Auckland"/>
    <s v="Cafe"/>
    <s v="Pasta Alfredo"/>
    <n v="928"/>
    <n v="49.57"/>
    <n v="4.5"/>
    <n v="15.43"/>
    <n v="4"/>
    <n v="6"/>
    <n v="370.32"/>
    <n v="1.22"/>
    <n v="369.1"/>
  </r>
  <r>
    <s v="89E6624F"/>
    <m/>
    <m/>
    <s v="CUST3944"/>
    <s v="David Garcia"/>
    <s v="Australia"/>
    <s v="Auckland"/>
    <s v="Chinese"/>
    <s v="Pasta Alfredo"/>
    <n v="3894"/>
    <n v="29.57"/>
    <n v="3.5"/>
    <n v="14.65"/>
    <n v="5"/>
    <n v="17"/>
    <n v="1245.25"/>
    <n v="4.95"/>
    <n v="1240.3"/>
  </r>
  <r>
    <s v="CE038D01"/>
    <m/>
    <m/>
    <s v="CUST1402"/>
    <s v="Kumar Brown"/>
    <s v="Qatar"/>
    <s v="Auckland"/>
    <s v="North Indian, Mughlai"/>
    <s v="Fried Rice"/>
    <n v="2912"/>
    <n v="20.59"/>
    <n v="1.5"/>
    <n v="25.91"/>
    <n v="4"/>
    <n v="7"/>
    <n v="725.48"/>
    <n v="3.69"/>
    <n v="721.79"/>
  </r>
  <r>
    <s v="561312A2"/>
    <m/>
    <m/>
    <s v="CUST7961"/>
    <s v="Ahmed Sharma"/>
    <s v="Australia"/>
    <s v="Auckland"/>
    <s v="North Indian"/>
    <s v="Spring Rolls"/>
    <n v="1071"/>
    <n v="15.72"/>
    <n v="4.0999999999999996"/>
    <n v="33.08"/>
    <n v="5"/>
    <n v="1"/>
    <n v="165.39999999999998"/>
    <n v="6.32"/>
    <n v="159.08000000000001"/>
  </r>
  <r>
    <s v="434586F9"/>
    <m/>
    <m/>
    <s v="CUST8369"/>
    <s v="Anita Patel"/>
    <s v="South Africa"/>
    <s v="Auckland"/>
    <s v="Chinese"/>
    <s v="Grilled Sandwich"/>
    <n v="1826"/>
    <n v="6.78"/>
    <n v="1.4"/>
    <n v="9.64"/>
    <n v="1"/>
    <n v="19"/>
    <n v="183.16000000000003"/>
    <n v="1.42"/>
    <n v="181.74"/>
  </r>
  <r>
    <s v="9ACD7772"/>
    <m/>
    <m/>
    <s v="CUST1210"/>
    <s v="David Garcia"/>
    <s v="South Africa"/>
    <s v="Auckland"/>
    <s v="North Indian, Mughlai"/>
    <s v="Grilled Sandwich"/>
    <n v="4203"/>
    <n v="48.43"/>
    <n v="1.4"/>
    <n v="36.590000000000003"/>
    <n v="3"/>
    <n v="11"/>
    <n v="1207.47"/>
    <n v="8.6300000000000008"/>
    <n v="1198.8399999999999"/>
  </r>
  <r>
    <s v="B5DF4300"/>
    <m/>
    <m/>
    <s v="CUST3134"/>
    <s v="Priya Das"/>
    <s v="Philippines"/>
    <s v="Auckland"/>
    <s v="Cafe"/>
    <s v="Veg Biryani"/>
    <n v="2269"/>
    <n v="30.41"/>
    <n v="3.7"/>
    <n v="39.21"/>
    <n v="2"/>
    <n v="20"/>
    <n v="1568.4"/>
    <n v="2.11"/>
    <n v="1566.29"/>
  </r>
  <r>
    <s v="1E6B13CE"/>
    <m/>
    <m/>
    <s v="CUST4039"/>
    <s v="Emily Brown"/>
    <s v="Australia"/>
    <s v="Auckland"/>
    <s v="Chinese"/>
    <s v="Cheeseburger"/>
    <n v="3858"/>
    <n v="49.66"/>
    <n v="4.8"/>
    <n v="9.1999999999999993"/>
    <n v="3"/>
    <n v="16"/>
    <n v="441.59999999999997"/>
    <n v="6.59"/>
    <n v="435.01"/>
  </r>
  <r>
    <s v="F318564A"/>
    <m/>
    <m/>
    <s v="CUST2204"/>
    <s v="Anita Taylor"/>
    <s v="Qatar"/>
    <s v="Abu Dhabi"/>
    <s v="Cafe"/>
    <s v="Paneer Tikka"/>
    <n v="728"/>
    <n v="7.32"/>
    <n v="2.5"/>
    <n v="9.61"/>
    <n v="5"/>
    <n v="20"/>
    <n v="961"/>
    <n v="3.63"/>
    <n v="957.37"/>
  </r>
  <r>
    <s v="43F349EE"/>
    <m/>
    <m/>
    <s v="CUST6493"/>
    <s v="Priya Garcia"/>
    <s v="Australia"/>
    <s v="Abu Dhabi"/>
    <s v="North Indian"/>
    <s v="Chicken Biryani"/>
    <n v="1423"/>
    <n v="38.79"/>
    <n v="3.1"/>
    <n v="19.98"/>
    <n v="3"/>
    <n v="19"/>
    <n v="1138.8599999999999"/>
    <n v="7.25"/>
    <n v="1131.6099999999999"/>
  </r>
  <r>
    <s v="328C870C"/>
    <m/>
    <m/>
    <s v="CUST3984"/>
    <s v="Ahmed Das"/>
    <s v="Brazil"/>
    <s v="Abu Dhabi"/>
    <s v="Cafe"/>
    <s v="Margherita Pizza"/>
    <n v="1654"/>
    <n v="9.59"/>
    <n v="2.5"/>
    <n v="35.21"/>
    <n v="2"/>
    <n v="10"/>
    <n v="704.2"/>
    <n v="0.26"/>
    <n v="703.94"/>
  </r>
  <r>
    <s v="D8263C47"/>
    <m/>
    <m/>
    <s v="CUST5781"/>
    <s v="Sara Lee"/>
    <s v="India"/>
    <s v="Abu Dhabi"/>
    <s v="Chinese"/>
    <s v="Cheeseburger"/>
    <n v="139"/>
    <n v="15.24"/>
    <n v="3.6"/>
    <n v="15.31"/>
    <n v="3"/>
    <n v="17"/>
    <n v="780.81"/>
    <n v="4.24"/>
    <n v="776.57"/>
  </r>
  <r>
    <s v="067C91A5"/>
    <m/>
    <m/>
    <s v="CUST9834"/>
    <s v="John Smith"/>
    <s v="Indonesia"/>
    <s v="Abu Dhabi"/>
    <s v="North Indian"/>
    <s v="Cheeseburger"/>
    <n v="2256"/>
    <n v="44.64"/>
    <n v="2.7"/>
    <n v="16.54"/>
    <n v="5"/>
    <n v="20"/>
    <n v="1653.9999999999998"/>
    <n v="6.51"/>
    <n v="1647.49"/>
  </r>
  <r>
    <s v="158323BC"/>
    <m/>
    <m/>
    <s v="CUST1654"/>
    <s v="Ahmed Lee"/>
    <s v="India"/>
    <s v="Abu Dhabi"/>
    <s v="North Indian"/>
    <s v="Veg Biryani"/>
    <n v="1313"/>
    <n v="30.32"/>
    <n v="3.6"/>
    <n v="37.94"/>
    <n v="3"/>
    <n v="6"/>
    <n v="682.92"/>
    <n v="2.34"/>
    <n v="680.58"/>
  </r>
  <r>
    <s v="433CECC3"/>
    <m/>
    <m/>
    <s v="CUST4297"/>
    <s v="Kumar Lee"/>
    <s v="India"/>
    <s v="Abu Dhabi"/>
    <s v="North Indian, Chinese"/>
    <s v="Grilled Sandwich"/>
    <n v="3163"/>
    <n v="24.97"/>
    <n v="2.8"/>
    <n v="28.4"/>
    <n v="4"/>
    <n v="2"/>
    <n v="227.2"/>
    <n v="6.06"/>
    <n v="221.14"/>
  </r>
  <r>
    <s v="5A74F364"/>
    <m/>
    <m/>
    <s v="CUST5511"/>
    <s v="John Smith"/>
    <s v="Australia"/>
    <s v="Abu Dhabi"/>
    <s v="North Indian"/>
    <s v="Grilled Sandwich"/>
    <n v="3351"/>
    <n v="18.010000000000002"/>
    <n v="4.2"/>
    <n v="37.14"/>
    <n v="3"/>
    <n v="8"/>
    <n v="891.36"/>
    <n v="5.84"/>
    <n v="885.52"/>
  </r>
  <r>
    <s v="61C650F9"/>
    <m/>
    <m/>
    <s v="CUST1670"/>
    <s v="Kumar Sharma"/>
    <s v="Philippines"/>
    <s v="Abu Dhabi"/>
    <s v="North Indian"/>
    <s v="Veg Biryani"/>
    <n v="3938"/>
    <n v="37.5"/>
    <n v="3.4"/>
    <n v="18.68"/>
    <n v="4"/>
    <n v="7"/>
    <n v="523.04"/>
    <n v="3.44"/>
    <n v="519.6"/>
  </r>
  <r>
    <s v="3675A7F6"/>
    <m/>
    <m/>
    <s v="CUST5474"/>
    <s v="Anita Khan"/>
    <s v="Qatar"/>
    <s v="Abu Dhabi"/>
    <s v="Chinese"/>
    <s v="Spring Rolls"/>
    <n v="4898"/>
    <n v="19.329999999999998"/>
    <n v="1.4"/>
    <n v="20.92"/>
    <n v="1"/>
    <n v="8"/>
    <n v="167.36"/>
    <n v="5.13"/>
    <n v="162.22999999999999"/>
  </r>
  <r>
    <s v="2E044F8A"/>
    <m/>
    <m/>
    <s v="CUST5460"/>
    <s v="Anita Brown"/>
    <s v="New Zealand"/>
    <s v="Abu Dhabi"/>
    <s v="North Indian, Chinese"/>
    <s v="Butter Chicken"/>
    <n v="2962"/>
    <n v="8.57"/>
    <n v="3.6"/>
    <n v="21.56"/>
    <n v="3"/>
    <n v="20"/>
    <n v="1293.5999999999999"/>
    <n v="4.1900000000000004"/>
    <n v="1289.4100000000001"/>
  </r>
  <r>
    <s v="41D38585"/>
    <m/>
    <m/>
    <s v="CUST6101"/>
    <s v="John Taylor"/>
    <s v="New Zealand"/>
    <s v="Abu Dhabi"/>
    <s v="North Indian, Chinese"/>
    <s v="Tandoori Roti"/>
    <n v="4925"/>
    <n v="44.32"/>
    <n v="4.0999999999999996"/>
    <n v="21.8"/>
    <n v="2"/>
    <n v="20"/>
    <n v="872"/>
    <n v="0.35"/>
    <n v="871.65"/>
  </r>
  <r>
    <s v="9E92536D"/>
    <m/>
    <m/>
    <s v="CUST2631"/>
    <s v="Kumar Patel"/>
    <s v="Singapore"/>
    <s v="Abu Dhabi"/>
    <s v="Chinese"/>
    <s v="Chicken Biryani"/>
    <n v="363"/>
    <n v="17.36"/>
    <n v="2.2000000000000002"/>
    <n v="33.96"/>
    <n v="1"/>
    <n v="6"/>
    <n v="203.76"/>
    <n v="3.36"/>
    <n v="200.4"/>
  </r>
  <r>
    <s v="4324A8C9"/>
    <m/>
    <m/>
    <s v="CUST1429"/>
    <s v="David Lee"/>
    <s v="Canada"/>
    <s v="Abu Dhabi"/>
    <s v="North Indian"/>
    <s v="Fried Rice"/>
    <n v="3834"/>
    <n v="10.58"/>
    <n v="3.8"/>
    <n v="32.31"/>
    <n v="5"/>
    <n v="15"/>
    <n v="2423.25"/>
    <n v="5.35"/>
    <n v="2417.9"/>
  </r>
  <r>
    <s v="AB52EF22"/>
    <m/>
    <m/>
    <s v="CUST8475"/>
    <s v="Emily Brown"/>
    <s v="South Africa"/>
    <s v="Abu Dhabi"/>
    <s v="North Indian"/>
    <s v="Sushi Platter"/>
    <n v="1277"/>
    <n v="14.92"/>
    <n v="1.3"/>
    <n v="38.729999999999997"/>
    <n v="1"/>
    <n v="13"/>
    <n v="503.48999999999995"/>
    <n v="7.29"/>
    <n v="496.2"/>
  </r>
  <r>
    <s v="84AD6DD7"/>
    <m/>
    <m/>
    <s v="CUST9573"/>
    <s v="Ahmed Patel"/>
    <s v="South Africa"/>
    <s v="Abu Dhabi"/>
    <s v="North Indian, Chinese"/>
    <s v="Shawarma"/>
    <n v="1749"/>
    <n v="21.97"/>
    <n v="4.5"/>
    <n v="22.45"/>
    <n v="1"/>
    <n v="4"/>
    <n v="89.8"/>
    <n v="2.4900000000000002"/>
    <n v="87.31"/>
  </r>
  <r>
    <s v="4482F87C"/>
    <m/>
    <m/>
    <s v="CUST6177"/>
    <s v="Ravi Das"/>
    <s v="Australia"/>
    <s v="Abu Dhabi"/>
    <s v="North Indian"/>
    <s v="Chicken Biryani"/>
    <n v="2894"/>
    <n v="17.89"/>
    <n v="1"/>
    <n v="32.340000000000003"/>
    <n v="2"/>
    <n v="13"/>
    <n v="840.84000000000015"/>
    <n v="0.99"/>
    <n v="839.85"/>
  </r>
  <r>
    <s v="E40AFD26"/>
    <m/>
    <m/>
    <s v="CUST2856"/>
    <s v="Kumar Brown"/>
    <s v="Philippines"/>
    <s v="Abu Dhabi"/>
    <s v="Cafe"/>
    <s v="Fried Rice"/>
    <n v="4831"/>
    <n v="30.18"/>
    <n v="2.6"/>
    <n v="13.42"/>
    <n v="2"/>
    <n v="2"/>
    <n v="53.68"/>
    <n v="7.43"/>
    <n v="46.25"/>
  </r>
  <r>
    <s v="CBBCC73B"/>
    <m/>
    <m/>
    <s v="CUST9187"/>
    <s v="David Khan"/>
    <s v="India"/>
    <s v="Agra"/>
    <s v="North Indian"/>
    <s v="Paneer Tikka"/>
    <n v="1247"/>
    <n v="23.13"/>
    <n v="4"/>
    <n v="10.85"/>
    <n v="3"/>
    <n v="18"/>
    <n v="585.9"/>
    <n v="3.02"/>
    <n v="582.88"/>
  </r>
  <r>
    <s v="A20341F3"/>
    <m/>
    <m/>
    <s v="CUST2264"/>
    <s v="Ravi Das"/>
    <s v="Indonesia"/>
    <s v="Agra"/>
    <s v="North Indian, Chinese"/>
    <s v="Sushi Platter"/>
    <n v="3478"/>
    <n v="20.38"/>
    <n v="3"/>
    <n v="36.729999999999997"/>
    <n v="5"/>
    <n v="20"/>
    <n v="3672.9999999999995"/>
    <n v="8.0500000000000007"/>
    <n v="3664.95"/>
  </r>
  <r>
    <s v="B222E592"/>
    <m/>
    <m/>
    <s v="CUST1596"/>
    <s v="Priya Sharma"/>
    <s v="Indonesia"/>
    <s v="Agra"/>
    <s v="North Indian, Mughlai"/>
    <s v="Pasta Alfredo"/>
    <n v="4251"/>
    <n v="13.48"/>
    <n v="2.2999999999999998"/>
    <n v="22.3"/>
    <n v="3"/>
    <n v="1"/>
    <n v="66.900000000000006"/>
    <n v="1.6"/>
    <n v="65.3"/>
  </r>
  <r>
    <s v="CC74B51E"/>
    <m/>
    <m/>
    <s v="CUST3802"/>
    <s v="Sara Das"/>
    <s v="Philippines"/>
    <s v="Agra"/>
    <s v="Cafe"/>
    <s v="Fried Rice"/>
    <n v="4314"/>
    <n v="17.89"/>
    <n v="2.4"/>
    <n v="24.07"/>
    <n v="2"/>
    <n v="17"/>
    <n v="818.38"/>
    <n v="6.31"/>
    <n v="812.07"/>
  </r>
  <r>
    <s v="8E93119D"/>
    <m/>
    <m/>
    <s v="CUST9981"/>
    <s v="Ravi Taylor"/>
    <s v="Canada"/>
    <s v="Agra"/>
    <s v="North Indian, Chinese"/>
    <s v="Shawarma"/>
    <n v="2116"/>
    <n v="44.49"/>
    <n v="4.7"/>
    <n v="7.38"/>
    <n v="5"/>
    <n v="2"/>
    <n v="73.8"/>
    <n v="7.19"/>
    <n v="66.61"/>
  </r>
  <r>
    <s v="06215777"/>
    <m/>
    <m/>
    <s v="CUST8523"/>
    <s v="Priya Lee"/>
    <s v="Indonesia"/>
    <s v="Agra"/>
    <s v="Cafe"/>
    <s v="Masala Dosa"/>
    <n v="2944"/>
    <n v="41.42"/>
    <n v="4.9000000000000004"/>
    <n v="31.37"/>
    <n v="3"/>
    <n v="4"/>
    <n v="376.44"/>
    <n v="9.41"/>
    <n v="367.03"/>
  </r>
  <r>
    <s v="3AA899FA"/>
    <m/>
    <m/>
    <s v="CUST5569"/>
    <s v="Kumar Sharma"/>
    <s v="Qatar"/>
    <s v="Agra"/>
    <s v="Cafe"/>
    <s v="Veg Biryani"/>
    <n v="3715"/>
    <n v="44.73"/>
    <n v="4.5"/>
    <n v="5.64"/>
    <n v="4"/>
    <n v="9"/>
    <n v="203.04"/>
    <n v="4.54"/>
    <n v="198.5"/>
  </r>
  <r>
    <s v="EA738D4B"/>
    <m/>
    <m/>
    <s v="CUST3756"/>
    <s v="David Singh"/>
    <s v="Philippines"/>
    <s v="Agra"/>
    <s v="North Indian, Chinese"/>
    <s v="Paneer Tikka"/>
    <n v="1288"/>
    <n v="13.72"/>
    <n v="3.7"/>
    <n v="5.23"/>
    <n v="2"/>
    <n v="7"/>
    <n v="73.22"/>
    <n v="9.52"/>
    <n v="63.7"/>
  </r>
  <r>
    <s v="54FA9647"/>
    <m/>
    <m/>
    <s v="CUST2141"/>
    <s v="Priya Brown"/>
    <s v="Australia"/>
    <s v="Agra"/>
    <s v="North Indian, Chinese"/>
    <s v="Grilled Sandwich"/>
    <n v="2379"/>
    <n v="23.84"/>
    <n v="4.4000000000000004"/>
    <n v="14.73"/>
    <n v="2"/>
    <n v="16"/>
    <n v="471.36"/>
    <n v="2.83"/>
    <n v="468.53"/>
  </r>
  <r>
    <s v="18F76880"/>
    <m/>
    <m/>
    <s v="CUST5256"/>
    <s v="Sophia Lee"/>
    <s v="New Zealand"/>
    <s v="Agra"/>
    <s v="North Indian, Chinese"/>
    <s v="Veg Biryani"/>
    <n v="4115"/>
    <n v="31.73"/>
    <n v="2"/>
    <n v="17.059999999999999"/>
    <n v="3"/>
    <n v="13"/>
    <n v="665.33999999999992"/>
    <n v="8.44"/>
    <n v="656.9"/>
  </r>
  <r>
    <s v="56F34867"/>
    <m/>
    <m/>
    <s v="CUST8329"/>
    <s v="John Sharma"/>
    <s v="New Zealand"/>
    <s v="Agra"/>
    <s v="North Indian"/>
    <s v="Fried Rice"/>
    <n v="3122"/>
    <n v="34.340000000000003"/>
    <n v="3.1"/>
    <n v="16.149999999999999"/>
    <n v="2"/>
    <n v="14"/>
    <n v="452.19999999999993"/>
    <n v="7.74"/>
    <n v="444.46"/>
  </r>
  <r>
    <s v="E74FEF9D"/>
    <m/>
    <m/>
    <s v="CUST2337"/>
    <s v="Kumar Brown"/>
    <s v="Singapore"/>
    <s v="Agra"/>
    <s v="North Indian"/>
    <s v="Chicken Biryani"/>
    <n v="181"/>
    <n v="12.13"/>
    <n v="4.2"/>
    <n v="22.71"/>
    <n v="4"/>
    <n v="13"/>
    <n v="1180.92"/>
    <n v="0.84"/>
    <n v="1180.08"/>
  </r>
  <r>
    <s v="08D960DA"/>
    <m/>
    <m/>
    <s v="CUST2037"/>
    <s v="Sara Das"/>
    <s v="Philippines"/>
    <s v="Agra"/>
    <s v="Cafe"/>
    <s v="Shawarma"/>
    <n v="4501"/>
    <n v="39.81"/>
    <n v="1.7"/>
    <n v="20.22"/>
    <n v="4"/>
    <n v="11"/>
    <n v="889.68"/>
    <n v="8.93"/>
    <n v="880.75"/>
  </r>
  <r>
    <s v="E7CDD032"/>
    <m/>
    <m/>
    <s v="CUST9980"/>
    <s v="John Khan"/>
    <s v="New Zealand"/>
    <s v="Agra"/>
    <s v="Chinese"/>
    <s v="Paneer Tikka"/>
    <n v="4509"/>
    <n v="45.71"/>
    <n v="4.7"/>
    <n v="13.32"/>
    <n v="5"/>
    <n v="17"/>
    <n v="1132.1999999999998"/>
    <n v="9.91"/>
    <n v="1122.29"/>
  </r>
  <r>
    <s v="456A12CC"/>
    <m/>
    <m/>
    <s v="CUST8406"/>
    <s v="David Taylor"/>
    <s v="Canada"/>
    <s v="Agra"/>
    <s v="North Indian, Mughlai"/>
    <s v="Sushi Platter"/>
    <n v="4771"/>
    <n v="32.090000000000003"/>
    <n v="2.6"/>
    <n v="24.88"/>
    <n v="1"/>
    <n v="10"/>
    <n v="248.79999999999998"/>
    <n v="4.47"/>
    <n v="244.33"/>
  </r>
  <r>
    <s v="CEE6DF9E"/>
    <m/>
    <m/>
    <s v="CUST8941"/>
    <s v="John Smith"/>
    <s v="Philippines"/>
    <s v="Ahmedabad"/>
    <s v="Chinese"/>
    <s v="Paneer Tikka"/>
    <n v="386"/>
    <n v="45.53"/>
    <n v="1.7"/>
    <n v="24.09"/>
    <n v="3"/>
    <n v="13"/>
    <n v="939.51"/>
    <n v="4.4000000000000004"/>
    <n v="935.11"/>
  </r>
  <r>
    <s v="7513C565"/>
    <m/>
    <m/>
    <s v="CUST1547"/>
    <s v="Emily Garcia"/>
    <s v="India"/>
    <s v="Ahmedabad"/>
    <s v="North Indian, Mughlai"/>
    <s v="Margherita Pizza"/>
    <n v="2570"/>
    <n v="14.33"/>
    <n v="3.2"/>
    <n v="38.74"/>
    <n v="4"/>
    <n v="10"/>
    <n v="1549.6000000000001"/>
    <n v="7.97"/>
    <n v="1541.63"/>
  </r>
  <r>
    <s v="4C99A6FB"/>
    <m/>
    <m/>
    <s v="CUST4508"/>
    <s v="Anita Taylor"/>
    <s v="Indonesia"/>
    <s v="Ahmedabad"/>
    <s v="North Indian"/>
    <s v="Butter Chicken"/>
    <n v="1262"/>
    <n v="5.59"/>
    <n v="3.2"/>
    <n v="21.63"/>
    <n v="3"/>
    <n v="18"/>
    <n v="1168.02"/>
    <n v="4.04"/>
    <n v="1163.98"/>
  </r>
  <r>
    <s v="D6B45895"/>
    <m/>
    <m/>
    <s v="CUST3970"/>
    <s v="Ravi Brown"/>
    <s v="Australia"/>
    <s v="Ahmedabad"/>
    <s v="North Indian, Chinese"/>
    <s v="Veg Biryani"/>
    <n v="4832"/>
    <n v="6.54"/>
    <n v="3.3"/>
    <n v="31.1"/>
    <n v="5"/>
    <n v="13"/>
    <n v="2021.5"/>
    <n v="0.67"/>
    <n v="2020.83"/>
  </r>
  <r>
    <s v="37E25D2D"/>
    <m/>
    <m/>
    <s v="CUST4902"/>
    <s v="Anita Lee"/>
    <s v="Singapore"/>
    <s v="Ahmedabad"/>
    <s v="Chinese"/>
    <s v="Sushi Platter"/>
    <n v="2554"/>
    <n v="8.49"/>
    <n v="3.7"/>
    <n v="28.48"/>
    <n v="1"/>
    <n v="5"/>
    <n v="142.4"/>
    <n v="3.61"/>
    <n v="138.79"/>
  </r>
  <r>
    <s v="2202B992"/>
    <m/>
    <m/>
    <s v="CUST6923"/>
    <s v="Sophia Patel"/>
    <s v="Qatar"/>
    <s v="Ahmedabad"/>
    <s v="North Indian, Mughlai"/>
    <s v="Veg Biryani"/>
    <n v="2444"/>
    <n v="12.65"/>
    <n v="1.7"/>
    <n v="21.71"/>
    <n v="3"/>
    <n v="4"/>
    <n v="260.52"/>
    <n v="7.04"/>
    <n v="253.48"/>
  </r>
  <r>
    <s v="ED0564FF"/>
    <m/>
    <m/>
    <s v="CUST7542"/>
    <s v="Anita Garcia"/>
    <s v="India"/>
    <s v="Ahmedabad"/>
    <s v="North Indian"/>
    <s v="Momos"/>
    <n v="76"/>
    <n v="20.05"/>
    <n v="4"/>
    <n v="32.71"/>
    <n v="2"/>
    <n v="19"/>
    <n v="1242.98"/>
    <n v="1.2"/>
    <n v="1241.78"/>
  </r>
  <r>
    <s v="2E5C5F55"/>
    <m/>
    <m/>
    <s v="CUST8685"/>
    <s v="Emily Taylor"/>
    <s v="Singapore"/>
    <s v="Albany"/>
    <s v="Cafe"/>
    <s v="Masala Dosa"/>
    <n v="425"/>
    <n v="37.36"/>
    <n v="1.9"/>
    <n v="30.76"/>
    <n v="2"/>
    <n v="16"/>
    <n v="984.32"/>
    <n v="5.58"/>
    <n v="978.74"/>
  </r>
  <r>
    <s v="564B91F9"/>
    <m/>
    <m/>
    <s v="CUST1047"/>
    <s v="Anita Taylor"/>
    <s v="Canada"/>
    <s v="Albany"/>
    <s v="North Indian"/>
    <s v="Grilled Sandwich"/>
    <n v="1694"/>
    <n v="15.06"/>
    <n v="4.4000000000000004"/>
    <n v="35.479999999999997"/>
    <n v="5"/>
    <n v="7"/>
    <n v="1241.7999999999997"/>
    <n v="9.3800000000000008"/>
    <n v="1232.42"/>
  </r>
  <r>
    <s v="79D4B933"/>
    <m/>
    <m/>
    <s v="CUST2002"/>
    <s v="Ahmed Smith"/>
    <s v="South Africa"/>
    <s v="Albany"/>
    <s v="North Indian, Chinese"/>
    <s v="Grilled Sandwich"/>
    <n v="1771"/>
    <n v="35.76"/>
    <n v="4"/>
    <n v="8.58"/>
    <n v="1"/>
    <n v="5"/>
    <n v="42.9"/>
    <n v="4.6100000000000003"/>
    <n v="38.29"/>
  </r>
  <r>
    <s v="70D38732"/>
    <m/>
    <m/>
    <s v="CUST5355"/>
    <s v="Kumar Khan"/>
    <s v="India"/>
    <s v="Albany"/>
    <s v="North Indian, Chinese"/>
    <s v="Shawarma"/>
    <n v="2531"/>
    <n v="43.49"/>
    <n v="4.5999999999999996"/>
    <n v="27.47"/>
    <n v="1"/>
    <n v="9"/>
    <n v="247.23"/>
    <n v="9.34"/>
    <n v="237.89"/>
  </r>
  <r>
    <s v="D77FFC28"/>
    <m/>
    <m/>
    <s v="CUST8350"/>
    <s v="Sara Taylor"/>
    <s v="Australia"/>
    <s v="Albany"/>
    <s v="North Indian, Chinese"/>
    <s v="Fried Rice"/>
    <n v="531"/>
    <n v="33.880000000000003"/>
    <n v="3.5"/>
    <n v="25.06"/>
    <n v="5"/>
    <n v="2"/>
    <n v="250.6"/>
    <n v="2.2799999999999998"/>
    <n v="248.32"/>
  </r>
  <r>
    <s v="1ED87466"/>
    <m/>
    <m/>
    <s v="CUST2653"/>
    <s v="Ravi Das"/>
    <s v="Philippines"/>
    <s v="Albany"/>
    <s v="North Indian, Chinese"/>
    <s v="Masala Dosa"/>
    <n v="2433"/>
    <n v="14.27"/>
    <n v="3.3"/>
    <n v="8.52"/>
    <n v="3"/>
    <n v="12"/>
    <n v="306.71999999999997"/>
    <n v="7.24"/>
    <n v="299.48"/>
  </r>
  <r>
    <s v="043A6E1F"/>
    <m/>
    <m/>
    <s v="CUST9325"/>
    <s v="Ravi Singh"/>
    <s v="South Africa"/>
    <s v="Albany"/>
    <s v="North Indian, Mughlai"/>
    <s v="Masala Dosa"/>
    <n v="2877"/>
    <n v="42.55"/>
    <n v="3.8"/>
    <n v="13.21"/>
    <n v="2"/>
    <n v="15"/>
    <n v="396.3"/>
    <n v="0.97"/>
    <n v="395.33"/>
  </r>
  <r>
    <s v="21C82609"/>
    <m/>
    <m/>
    <s v="CUST3628"/>
    <s v="David Patel"/>
    <s v="Brazil"/>
    <s v="Albany"/>
    <s v="Chinese"/>
    <s v="Spring Rolls"/>
    <n v="841"/>
    <n v="45.49"/>
    <n v="3.5"/>
    <n v="28.25"/>
    <n v="3"/>
    <n v="8"/>
    <n v="678"/>
    <n v="7.04"/>
    <n v="670.96"/>
  </r>
  <r>
    <s v="CCA04A93"/>
    <m/>
    <m/>
    <s v="CUST1643"/>
    <s v="Sophia Das"/>
    <s v="Canada"/>
    <s v="Albany"/>
    <s v="North Indian, Mughlai"/>
    <s v="Chicken Biryani"/>
    <n v="1233"/>
    <n v="28.42"/>
    <n v="2.7"/>
    <n v="21.99"/>
    <n v="1"/>
    <n v="14"/>
    <n v="307.85999999999996"/>
    <n v="0.28999999999999998"/>
    <n v="307.57"/>
  </r>
  <r>
    <s v="AD7EDA5E"/>
    <m/>
    <m/>
    <s v="CUST7589"/>
    <s v="John Smith"/>
    <s v="Australia"/>
    <s v="Albany"/>
    <s v="North Indian, Chinese"/>
    <s v="Fried Rice"/>
    <n v="531"/>
    <n v="49.96"/>
    <n v="3.6"/>
    <n v="22.69"/>
    <n v="4"/>
    <n v="12"/>
    <n v="1089.1200000000001"/>
    <n v="0.77"/>
    <n v="1088.3499999999999"/>
  </r>
  <r>
    <s v="1460CD6F"/>
    <m/>
    <m/>
    <s v="CUST1769"/>
    <s v="Sara Brown"/>
    <s v="Canada"/>
    <s v="Albany"/>
    <s v="North Indian, Chinese"/>
    <s v="Masala Dosa"/>
    <n v="2612"/>
    <n v="33.01"/>
    <n v="3.6"/>
    <n v="6.59"/>
    <n v="1"/>
    <n v="2"/>
    <n v="13.18"/>
    <n v="4.59"/>
    <n v="8.59"/>
  </r>
  <r>
    <s v="2194B007"/>
    <m/>
    <m/>
    <s v="CUST5198"/>
    <s v="Ravi Das"/>
    <s v="Canada"/>
    <s v="Albany"/>
    <s v="North Indian"/>
    <s v="Spring Rolls"/>
    <n v="3463"/>
    <n v="49"/>
    <n v="2.4"/>
    <n v="30.68"/>
    <n v="2"/>
    <n v="19"/>
    <n v="1165.8399999999999"/>
    <n v="4.42"/>
    <n v="1161.42"/>
  </r>
  <r>
    <s v="CC9480FB"/>
    <m/>
    <m/>
    <s v="CUST7589"/>
    <s v="Ahmed Patel"/>
    <s v="Brazil"/>
    <s v="Allahabad"/>
    <s v="North Indian"/>
    <s v="Cheeseburger"/>
    <n v="2839"/>
    <n v="27.04"/>
    <n v="4.0999999999999996"/>
    <n v="7.77"/>
    <n v="1"/>
    <n v="18"/>
    <n v="139.85999999999999"/>
    <n v="0.82"/>
    <n v="139.04"/>
  </r>
  <r>
    <s v="3BF90220"/>
    <m/>
    <m/>
    <s v="CUST2120"/>
    <s v="John Patel"/>
    <s v="Canada"/>
    <s v="Allahabad"/>
    <s v="Cafe"/>
    <s v="Sushi Platter"/>
    <n v="238"/>
    <n v="38.47"/>
    <n v="2.6"/>
    <n v="11.59"/>
    <n v="2"/>
    <n v="1"/>
    <n v="23.18"/>
    <n v="0.96"/>
    <n v="22.22"/>
  </r>
  <r>
    <s v="2930804D"/>
    <m/>
    <m/>
    <s v="CUST5497"/>
    <s v="Sara Singh"/>
    <s v="Australia"/>
    <s v="Allahabad"/>
    <s v="North Indian"/>
    <s v="Fried Rice"/>
    <n v="893"/>
    <n v="15.46"/>
    <n v="3.5"/>
    <n v="17.12"/>
    <n v="4"/>
    <n v="14"/>
    <n v="958.72"/>
    <n v="1.1100000000000001"/>
    <n v="957.61"/>
  </r>
  <r>
    <s v="C9C22698"/>
    <m/>
    <m/>
    <s v="CUST7062"/>
    <s v="Sara Brown"/>
    <s v="New Zealand"/>
    <s v="Allahabad"/>
    <s v="North Indian, Chinese"/>
    <s v="Spring Rolls"/>
    <n v="440"/>
    <n v="41.76"/>
    <n v="2.2000000000000002"/>
    <n v="25.5"/>
    <n v="5"/>
    <n v="7"/>
    <n v="892.5"/>
    <n v="4.84"/>
    <n v="887.66"/>
  </r>
  <r>
    <s v="AA055E3C"/>
    <m/>
    <m/>
    <s v="CUST5882"/>
    <s v="Sophia Khan"/>
    <s v="India"/>
    <s v="Allahabad"/>
    <s v="North Indian, Chinese"/>
    <s v="Shawarma"/>
    <n v="697"/>
    <n v="23.03"/>
    <n v="3.5"/>
    <n v="7.53"/>
    <n v="1"/>
    <n v="14"/>
    <n v="105.42"/>
    <n v="8.93"/>
    <n v="96.49"/>
  </r>
  <r>
    <s v="58A4FF12"/>
    <m/>
    <m/>
    <s v="CUST5764"/>
    <s v="Kumar Khan"/>
    <s v="Philippines"/>
    <s v="Allahabad"/>
    <s v="North Indian"/>
    <s v="Veg Biryani"/>
    <n v="2485"/>
    <n v="35.840000000000003"/>
    <n v="4.9000000000000004"/>
    <n v="15.73"/>
    <n v="3"/>
    <n v="19"/>
    <n v="896.6099999999999"/>
    <n v="5.92"/>
    <n v="890.69"/>
  </r>
  <r>
    <s v="F6E3490E"/>
    <m/>
    <m/>
    <s v="CUST8540"/>
    <s v="Kumar Lee"/>
    <s v="Qatar"/>
    <s v="Allahabad"/>
    <s v="Chinese"/>
    <s v="Grilled Sandwich"/>
    <n v="3256"/>
    <n v="5.26"/>
    <n v="4.9000000000000004"/>
    <n v="13.95"/>
    <n v="5"/>
    <n v="20"/>
    <n v="1395"/>
    <n v="7.67"/>
    <n v="1387.33"/>
  </r>
  <r>
    <s v="8834903F"/>
    <m/>
    <m/>
    <s v="CUST5113"/>
    <s v="John Das"/>
    <s v="Philippines"/>
    <s v="Allahabad"/>
    <s v="North Indian, Mughlai"/>
    <s v="Chicken Biryani"/>
    <n v="4464"/>
    <n v="47.45"/>
    <n v="4.3"/>
    <n v="38.33"/>
    <n v="1"/>
    <n v="1"/>
    <n v="38.33"/>
    <n v="0.22"/>
    <n v="38.11"/>
  </r>
  <r>
    <s v="0A978569"/>
    <m/>
    <m/>
    <s v="CUST8427"/>
    <s v="Emily Patel"/>
    <s v="South Africa"/>
    <s v="Allahabad"/>
    <s v="North Indian"/>
    <s v="Momos"/>
    <n v="1491"/>
    <n v="12.69"/>
    <n v="5"/>
    <n v="37.82"/>
    <n v="2"/>
    <n v="19"/>
    <n v="1437.16"/>
    <n v="8.6300000000000008"/>
    <n v="1428.53"/>
  </r>
  <r>
    <s v="78C65BD2"/>
    <m/>
    <m/>
    <s v="CUST3561"/>
    <s v="Anita Garcia"/>
    <s v="Qatar"/>
    <s v="Allahabad"/>
    <s v="Chinese"/>
    <s v="Paneer Tikka"/>
    <n v="3648"/>
    <n v="13.95"/>
    <n v="3.6"/>
    <n v="26.86"/>
    <n v="2"/>
    <n v="8"/>
    <n v="429.76"/>
    <n v="7.73"/>
    <n v="422.03"/>
  </r>
  <r>
    <s v="770F979E"/>
    <m/>
    <m/>
    <s v="CUST1871"/>
    <s v="Ahmed Smith"/>
    <s v="South Africa"/>
    <s v="Allahabad"/>
    <s v="North Indian, Chinese"/>
    <s v="Paneer Tikka"/>
    <n v="2946"/>
    <n v="37.78"/>
    <n v="4"/>
    <n v="13.98"/>
    <n v="3"/>
    <n v="10"/>
    <n v="419.4"/>
    <n v="9.76"/>
    <n v="409.64"/>
  </r>
  <r>
    <s v="B01A249D"/>
    <m/>
    <m/>
    <s v="CUST1058"/>
    <s v="Kumar Brown"/>
    <s v="Canada"/>
    <s v="Allahabad"/>
    <s v="North Indian, Chinese"/>
    <s v="Butter Chicken"/>
    <n v="2982"/>
    <n v="13.46"/>
    <n v="3.1"/>
    <n v="30.19"/>
    <n v="1"/>
    <n v="11"/>
    <n v="332.09000000000003"/>
    <n v="3.48"/>
    <n v="328.61"/>
  </r>
  <r>
    <s v="63FE5F4B"/>
    <m/>
    <m/>
    <s v="CUST2126"/>
    <s v="John Patel"/>
    <s v="Brazil"/>
    <s v="Amritsar"/>
    <s v="North Indian"/>
    <s v="Pasta Alfredo"/>
    <n v="977"/>
    <n v="19.62"/>
    <n v="4.0999999999999996"/>
    <n v="33.729999999999997"/>
    <n v="2"/>
    <n v="18"/>
    <n v="1214.28"/>
    <n v="7.12"/>
    <n v="1207.1600000000001"/>
  </r>
  <r>
    <s v="5039CB33"/>
    <m/>
    <m/>
    <s v="CUST5204"/>
    <s v="Priya Smith"/>
    <s v="New Zealand"/>
    <s v="Amritsar"/>
    <s v="Chinese"/>
    <s v="Spring Rolls"/>
    <n v="954"/>
    <n v="17.04"/>
    <n v="4.7"/>
    <n v="21.89"/>
    <n v="3"/>
    <n v="18"/>
    <n v="1182.06"/>
    <n v="1.61"/>
    <n v="1180.45"/>
  </r>
  <r>
    <s v="935EB149"/>
    <m/>
    <m/>
    <s v="CUST4427"/>
    <s v="Sophia Brown"/>
    <s v="New Zealand"/>
    <s v="Amritsar"/>
    <s v="North Indian"/>
    <s v="Cheeseburger"/>
    <n v="1545"/>
    <n v="26.71"/>
    <n v="3.3"/>
    <n v="24.79"/>
    <n v="3"/>
    <n v="20"/>
    <n v="1487.4"/>
    <n v="2.16"/>
    <n v="1485.24"/>
  </r>
  <r>
    <s v="51D0E61A"/>
    <m/>
    <m/>
    <s v="CUST8586"/>
    <s v="Emily Das"/>
    <s v="Indonesia"/>
    <s v="Amritsar"/>
    <s v="North Indian, Chinese"/>
    <s v="Shawarma"/>
    <n v="4717"/>
    <n v="32.799999999999997"/>
    <n v="4.0999999999999996"/>
    <n v="26.35"/>
    <n v="5"/>
    <n v="15"/>
    <n v="1976.25"/>
    <n v="9.15"/>
    <n v="1967.1"/>
  </r>
  <r>
    <s v="2AB749C3"/>
    <m/>
    <m/>
    <s v="CUST8605"/>
    <s v="Emily Khan"/>
    <s v="Philippines"/>
    <s v="Amritsar"/>
    <s v="Chinese"/>
    <s v="Chicken Biryani"/>
    <n v="4676"/>
    <n v="14.31"/>
    <n v="1.4"/>
    <n v="31.92"/>
    <n v="1"/>
    <n v="1"/>
    <n v="31.92"/>
    <n v="8.02"/>
    <n v="23.9"/>
  </r>
  <r>
    <s v="FA486623"/>
    <m/>
    <m/>
    <s v="CUST9743"/>
    <s v="Ravi Brown"/>
    <s v="Australia"/>
    <s v="Amritsar"/>
    <s v="North Indian"/>
    <s v="Masala Dosa"/>
    <n v="2265"/>
    <n v="46.15"/>
    <n v="1.9"/>
    <n v="16.95"/>
    <n v="2"/>
    <n v="10"/>
    <n v="339"/>
    <n v="2.21"/>
    <n v="336.79"/>
  </r>
  <r>
    <s v="F08FDC59"/>
    <m/>
    <m/>
    <s v="CUST6718"/>
    <s v="Ravi Brown"/>
    <s v="Qatar"/>
    <s v="Amritsar"/>
    <s v="North Indian"/>
    <s v="Butter Chicken"/>
    <n v="1716"/>
    <n v="43.23"/>
    <n v="1.4"/>
    <n v="7.23"/>
    <n v="5"/>
    <n v="18"/>
    <n v="650.70000000000005"/>
    <n v="8.59"/>
    <n v="642.11"/>
  </r>
  <r>
    <s v="54C87980"/>
    <m/>
    <m/>
    <s v="CUST7451"/>
    <s v="Sara Lee"/>
    <s v="Australia"/>
    <s v="Ankara"/>
    <s v="Cafe"/>
    <s v="Fried Rice"/>
    <n v="4685"/>
    <n v="5.07"/>
    <n v="3.4"/>
    <n v="12.21"/>
    <n v="2"/>
    <n v="14"/>
    <n v="341.88"/>
    <n v="8.77"/>
    <n v="333.11"/>
  </r>
  <r>
    <s v="3FD1888F"/>
    <m/>
    <m/>
    <s v="CUST2334"/>
    <s v="Ravi Khan"/>
    <s v="Canada"/>
    <s v="Ankara"/>
    <s v="North Indian"/>
    <s v="Sushi Platter"/>
    <n v="72"/>
    <n v="23.99"/>
    <n v="4.2"/>
    <n v="11.4"/>
    <n v="5"/>
    <n v="14"/>
    <n v="798"/>
    <n v="6.13"/>
    <n v="791.87"/>
  </r>
  <r>
    <s v="164A7299"/>
    <m/>
    <m/>
    <s v="CUST4149"/>
    <s v="Emily Khan"/>
    <s v="Philippines"/>
    <s v="Ankara"/>
    <s v="North Indian, Mughlai"/>
    <s v="Pasta Alfredo"/>
    <n v="2767"/>
    <n v="8.89"/>
    <n v="2.8"/>
    <n v="26.99"/>
    <n v="2"/>
    <n v="17"/>
    <n v="917.66"/>
    <n v="2.79"/>
    <n v="914.87"/>
  </r>
  <r>
    <s v="D57BD971"/>
    <m/>
    <m/>
    <s v="CUST8950"/>
    <s v="Sophia Sharma"/>
    <s v="New Zealand"/>
    <s v="Ankara"/>
    <s v="Chinese"/>
    <s v="Pasta Alfredo"/>
    <n v="2466"/>
    <n v="34.76"/>
    <n v="3.6"/>
    <n v="18.309999999999999"/>
    <n v="3"/>
    <n v="6"/>
    <n v="329.57999999999993"/>
    <n v="9.14"/>
    <n v="320.44"/>
  </r>
  <r>
    <s v="BBF2939F"/>
    <m/>
    <m/>
    <s v="CUST1160"/>
    <s v="Priya Khan"/>
    <s v="Indonesia"/>
    <s v="Ankara"/>
    <s v="Chinese"/>
    <s v="Paneer Tikka"/>
    <n v="4796"/>
    <n v="16.96"/>
    <n v="4.9000000000000004"/>
    <n v="14.79"/>
    <n v="1"/>
    <n v="5"/>
    <n v="73.949999999999989"/>
    <n v="3.1"/>
    <n v="70.849999999999994"/>
  </r>
  <r>
    <s v="46B7068F"/>
    <m/>
    <m/>
    <s v="CUST5379"/>
    <s v="John Lee"/>
    <s v="South Africa"/>
    <s v="Ankara"/>
    <s v="Cafe"/>
    <s v="Masala Dosa"/>
    <n v="469"/>
    <n v="47.65"/>
    <n v="4.4000000000000004"/>
    <n v="7.79"/>
    <n v="3"/>
    <n v="15"/>
    <n v="350.55"/>
    <n v="9.26"/>
    <n v="341.29"/>
  </r>
  <r>
    <s v="09224BFF"/>
    <m/>
    <m/>
    <s v="CUST5374"/>
    <s v="Anita Smith"/>
    <s v="India"/>
    <s v="Ankara"/>
    <s v="Chinese"/>
    <s v="Momos"/>
    <n v="2130"/>
    <n v="46.99"/>
    <n v="4.8"/>
    <n v="15.66"/>
    <n v="3"/>
    <n v="19"/>
    <n v="892.62000000000012"/>
    <n v="2.0499999999999998"/>
    <n v="890.57"/>
  </r>
  <r>
    <s v="656A35D7"/>
    <m/>
    <m/>
    <s v="CUST1381"/>
    <s v="Priya Patel"/>
    <s v="Qatar"/>
    <s v="Ankara"/>
    <s v="Chinese"/>
    <s v="Tandoori Roti"/>
    <n v="777"/>
    <n v="23.93"/>
    <n v="2.1"/>
    <n v="35.25"/>
    <n v="2"/>
    <n v="1"/>
    <n v="70.5"/>
    <n v="1.78"/>
    <n v="68.72"/>
  </r>
  <r>
    <s v="7E7BB711"/>
    <m/>
    <m/>
    <s v="CUST4580"/>
    <s v="David Garcia"/>
    <s v="Philippines"/>
    <s v="Ankara"/>
    <s v="Chinese"/>
    <s v="Masala Dosa"/>
    <n v="1110"/>
    <n v="34.24"/>
    <n v="4.5"/>
    <n v="33.67"/>
    <n v="1"/>
    <n v="12"/>
    <n v="404.04"/>
    <n v="6.07"/>
    <n v="397.97"/>
  </r>
  <r>
    <s v="941BCEE6"/>
    <m/>
    <m/>
    <s v="CUST2641"/>
    <s v="John Das"/>
    <s v="Indonesia"/>
    <s v="Athens"/>
    <s v="Cafe"/>
    <s v="Tandoori Roti"/>
    <n v="3682"/>
    <n v="30.95"/>
    <n v="4.9000000000000004"/>
    <n v="19.38"/>
    <n v="4"/>
    <n v="16"/>
    <n v="1240.32"/>
    <n v="8.68"/>
    <n v="1231.6400000000001"/>
  </r>
  <r>
    <s v="CBB9244B"/>
    <m/>
    <m/>
    <s v="CUST4074"/>
    <s v="Ahmed Singh"/>
    <s v="Brazil"/>
    <s v="Athens"/>
    <s v="Cafe"/>
    <s v="Paneer Tikka"/>
    <n v="1606"/>
    <n v="5.76"/>
    <n v="2.6"/>
    <n v="12.04"/>
    <n v="2"/>
    <n v="15"/>
    <n v="361.2"/>
    <n v="2.8"/>
    <n v="358.4"/>
  </r>
  <r>
    <s v="6B846FBF"/>
    <m/>
    <m/>
    <s v="CUST9014"/>
    <s v="Priya Das"/>
    <s v="Brazil"/>
    <s v="Athens"/>
    <s v="North Indian, Mughlai"/>
    <s v="Margherita Pizza"/>
    <n v="3803"/>
    <n v="38.25"/>
    <n v="4.2"/>
    <n v="38.89"/>
    <n v="3"/>
    <n v="7"/>
    <n v="816.69"/>
    <n v="7.83"/>
    <n v="808.86"/>
  </r>
  <r>
    <s v="D5E6ADD2"/>
    <m/>
    <m/>
    <s v="CUST7493"/>
    <s v="Sara Brown"/>
    <s v="Indonesia"/>
    <s v="Athens"/>
    <s v="North Indian, Mughlai"/>
    <s v="Paneer Tikka"/>
    <n v="4702"/>
    <n v="43.86"/>
    <n v="4.9000000000000004"/>
    <n v="15.34"/>
    <n v="3"/>
    <n v="14"/>
    <n v="644.28"/>
    <n v="4.68"/>
    <n v="639.6"/>
  </r>
  <r>
    <s v="113608C6"/>
    <m/>
    <m/>
    <s v="CUST4469"/>
    <s v="Priya Lee"/>
    <s v="Brazil"/>
    <s v="Athens"/>
    <s v="Chinese"/>
    <s v="Sushi Platter"/>
    <n v="3838"/>
    <n v="37.33"/>
    <n v="2"/>
    <n v="17.75"/>
    <n v="2"/>
    <n v="11"/>
    <n v="390.5"/>
    <n v="6.91"/>
    <n v="383.59"/>
  </r>
  <r>
    <s v="24E36F00"/>
    <m/>
    <m/>
    <s v="CUST3704"/>
    <s v="Emily Singh"/>
    <s v="Philippines"/>
    <s v="Athens"/>
    <s v="Chinese"/>
    <s v="Chicken Biryani"/>
    <n v="4261"/>
    <n v="46.55"/>
    <n v="5"/>
    <n v="29.93"/>
    <n v="5"/>
    <n v="12"/>
    <n v="1795.8000000000002"/>
    <n v="5.05"/>
    <n v="1790.75"/>
  </r>
  <r>
    <s v="6FBB27E7"/>
    <m/>
    <m/>
    <s v="CUST8514"/>
    <s v="John Taylor"/>
    <s v="New Zealand"/>
    <s v="Athens"/>
    <s v="North Indian"/>
    <s v="Cheeseburger"/>
    <n v="4528"/>
    <n v="17.73"/>
    <n v="1.2"/>
    <n v="9.5399999999999991"/>
    <n v="1"/>
    <n v="10"/>
    <n v="95.399999999999991"/>
    <n v="9.93"/>
    <n v="85.47"/>
  </r>
  <r>
    <s v="85D2AD24"/>
    <m/>
    <m/>
    <s v="CUST7330"/>
    <s v="Sophia Singh"/>
    <s v="Australia"/>
    <s v="Athens"/>
    <s v="North Indian, Mughlai"/>
    <s v="Cheeseburger"/>
    <n v="2496"/>
    <n v="29.17"/>
    <n v="4.2"/>
    <n v="9.4"/>
    <n v="3"/>
    <n v="14"/>
    <n v="394.80000000000007"/>
    <n v="5.0999999999999996"/>
    <n v="389.7"/>
  </r>
  <r>
    <s v="4E35DBD0"/>
    <m/>
    <m/>
    <s v="CUST8426"/>
    <s v="Sophia Lee"/>
    <s v="Indonesia"/>
    <s v="Athens"/>
    <s v="Cafe"/>
    <s v="Tandoori Roti"/>
    <n v="1396"/>
    <n v="24.95"/>
    <n v="4.3"/>
    <n v="5.1100000000000003"/>
    <n v="3"/>
    <n v="1"/>
    <n v="15.330000000000002"/>
    <n v="6.92"/>
    <n v="8.41"/>
  </r>
  <r>
    <s v="F60105BF"/>
    <m/>
    <m/>
    <s v="CUST3126"/>
    <s v="Sara Sharma"/>
    <s v="New Zealand"/>
    <s v="Athens"/>
    <s v="Cafe"/>
    <s v="Paneer Tikka"/>
    <n v="3422"/>
    <n v="46.75"/>
    <n v="2.2999999999999998"/>
    <n v="38.06"/>
    <n v="5"/>
    <n v="17"/>
    <n v="3235.1000000000004"/>
    <n v="9.81"/>
    <n v="3225.29"/>
  </r>
  <r>
    <s v="F25A2D62"/>
    <m/>
    <m/>
    <s v="CUST8979"/>
    <s v="John Lee"/>
    <s v="Indonesia"/>
    <s v="Auckland"/>
    <s v="Chinese"/>
    <s v="Masala Dosa"/>
    <n v="1496"/>
    <n v="47.88"/>
    <n v="4.2"/>
    <n v="10.210000000000001"/>
    <n v="2"/>
    <n v="2"/>
    <n v="40.840000000000003"/>
    <n v="5.87"/>
    <n v="34.97"/>
  </r>
  <r>
    <s v="C33FF3D8"/>
    <m/>
    <m/>
    <s v="CUST6856"/>
    <s v="Priya Taylor"/>
    <s v="Qatar"/>
    <s v="Auckland"/>
    <s v="Chinese"/>
    <s v="Butter Chicken"/>
    <n v="3284"/>
    <n v="17.2"/>
    <n v="1"/>
    <n v="9.57"/>
    <n v="3"/>
    <n v="14"/>
    <n v="401.94"/>
    <n v="1.79"/>
    <n v="400.15"/>
  </r>
  <r>
    <s v="A30F208E"/>
    <m/>
    <m/>
    <s v="CUST4096"/>
    <s v="Anita Taylor"/>
    <s v="Brazil"/>
    <s v="Auckland"/>
    <s v="Chinese"/>
    <s v="Veg Biryani"/>
    <n v="621"/>
    <n v="16.53"/>
    <n v="4.8"/>
    <n v="31.45"/>
    <n v="1"/>
    <n v="4"/>
    <n v="125.8"/>
    <n v="1.58"/>
    <n v="124.22"/>
  </r>
  <r>
    <s v="AC8BF542"/>
    <m/>
    <m/>
    <s v="CUST1470"/>
    <s v="David Singh"/>
    <s v="South Africa"/>
    <s v="Auckland"/>
    <s v="Chinese"/>
    <s v="Butter Chicken"/>
    <n v="2963"/>
    <n v="48.57"/>
    <n v="4.5"/>
    <n v="8.41"/>
    <n v="2"/>
    <n v="6"/>
    <n v="100.92"/>
    <n v="5.37"/>
    <n v="95.55"/>
  </r>
  <r>
    <s v="BA00B0A1"/>
    <m/>
    <m/>
    <s v="CUST5710"/>
    <s v="Ahmed Lee"/>
    <s v="India"/>
    <s v="Auckland"/>
    <s v="North Indian"/>
    <s v="Pasta Alfredo"/>
    <n v="1809"/>
    <n v="42.86"/>
    <n v="1.6"/>
    <n v="8.58"/>
    <n v="2"/>
    <n v="17"/>
    <n v="291.72000000000003"/>
    <n v="6.42"/>
    <n v="285.3"/>
  </r>
  <r>
    <s v="0E89755F"/>
    <m/>
    <m/>
    <s v="CUST6069"/>
    <s v="Emily Das"/>
    <s v="Australia"/>
    <s v="Auckland"/>
    <s v="Cafe"/>
    <s v="Shawarma"/>
    <n v="694"/>
    <n v="27.42"/>
    <n v="5"/>
    <n v="27.46"/>
    <n v="5"/>
    <n v="11"/>
    <n v="1510.3000000000002"/>
    <n v="3.98"/>
    <n v="1506.32"/>
  </r>
  <r>
    <s v="63EB90C3"/>
    <m/>
    <m/>
    <s v="CUST4490"/>
    <s v="Sophia Singh"/>
    <s v="New Zealand"/>
    <s v="Auckland"/>
    <s v="North Indian, Mughlai"/>
    <s v="Momos"/>
    <n v="2762"/>
    <n v="11.3"/>
    <n v="1.6"/>
    <n v="31.23"/>
    <n v="1"/>
    <n v="1"/>
    <n v="31.23"/>
    <n v="6.68"/>
    <n v="24.55"/>
  </r>
  <r>
    <s v="A1A13744"/>
    <m/>
    <m/>
    <s v="CUST3608"/>
    <s v="Ravi Khan"/>
    <s v="Singapore"/>
    <s v="Auckland"/>
    <s v="North Indian, Mughlai"/>
    <s v="Veg Biryani"/>
    <n v="2352"/>
    <n v="6.13"/>
    <n v="1.6"/>
    <n v="32.020000000000003"/>
    <n v="1"/>
    <n v="4"/>
    <n v="128.08000000000001"/>
    <n v="7.56"/>
    <n v="120.52"/>
  </r>
  <r>
    <s v="5526FCDB"/>
    <m/>
    <m/>
    <s v="CUST9190"/>
    <s v="David Taylor"/>
    <s v="South Africa"/>
    <s v="Auckland"/>
    <s v="North Indian"/>
    <s v="Pasta Alfredo"/>
    <n v="4924"/>
    <n v="19.940000000000001"/>
    <n v="2.5"/>
    <n v="13.25"/>
    <n v="1"/>
    <n v="10"/>
    <n v="132.5"/>
    <n v="7.53"/>
    <n v="124.97"/>
  </r>
  <r>
    <s v="0506E8B1"/>
    <m/>
    <m/>
    <s v="CUST3056"/>
    <s v="Emily Sharma"/>
    <s v="Brazil"/>
    <s v="Abu Dhabi"/>
    <s v="Cafe"/>
    <s v="Margherita Pizza"/>
    <n v="1084"/>
    <n v="25.06"/>
    <n v="4.2"/>
    <n v="6.09"/>
    <n v="5"/>
    <n v="5"/>
    <n v="152.25"/>
    <n v="3.34"/>
    <n v="148.91"/>
  </r>
  <r>
    <s v="5EC01FE2"/>
    <m/>
    <m/>
    <s v="CUST4881"/>
    <s v="Priya Sharma"/>
    <s v="Singapore"/>
    <s v="Abu Dhabi"/>
    <s v="North Indian, Mughlai"/>
    <s v="Sushi Platter"/>
    <n v="658"/>
    <n v="41.51"/>
    <n v="3.6"/>
    <n v="12.58"/>
    <n v="4"/>
    <n v="8"/>
    <n v="402.56"/>
    <n v="8.9700000000000006"/>
    <n v="393.59"/>
  </r>
  <r>
    <s v="794FC284"/>
    <m/>
    <m/>
    <s v="CUST5224"/>
    <s v="Anita Patel"/>
    <s v="Australia"/>
    <s v="Abu Dhabi"/>
    <s v="North Indian, Mughlai"/>
    <s v="Shawarma"/>
    <n v="1732"/>
    <n v="14.74"/>
    <n v="2.1"/>
    <n v="13.93"/>
    <n v="4"/>
    <n v="17"/>
    <n v="947.24"/>
    <n v="5.49"/>
    <n v="941.75"/>
  </r>
  <r>
    <s v="939D9626"/>
    <m/>
    <m/>
    <s v="CUST5278"/>
    <s v="David Smith"/>
    <s v="Indonesia"/>
    <s v="Abu Dhabi"/>
    <s v="Chinese"/>
    <s v="Cheeseburger"/>
    <n v="3041"/>
    <n v="34.93"/>
    <n v="1.5"/>
    <n v="14.17"/>
    <n v="5"/>
    <n v="5"/>
    <n v="354.25"/>
    <n v="3.95"/>
    <n v="350.3"/>
  </r>
  <r>
    <s v="48C837B1"/>
    <m/>
    <m/>
    <s v="CUST8487"/>
    <s v="John Khan"/>
    <s v="Australia"/>
    <s v="Abu Dhabi"/>
    <s v="Chinese"/>
    <s v="Spring Rolls"/>
    <n v="3795"/>
    <n v="13.86"/>
    <n v="2.9"/>
    <n v="35.69"/>
    <n v="1"/>
    <n v="1"/>
    <n v="35.69"/>
    <n v="7.74"/>
    <n v="27.95"/>
  </r>
  <r>
    <s v="38DC0135"/>
    <m/>
    <m/>
    <s v="CUST6956"/>
    <s v="Anita Taylor"/>
    <s v="Indonesia"/>
    <s v="Abu Dhabi"/>
    <s v="Cafe"/>
    <s v="Margherita Pizza"/>
    <n v="156"/>
    <n v="38.76"/>
    <n v="2.2999999999999998"/>
    <n v="36.39"/>
    <n v="2"/>
    <n v="11"/>
    <n v="800.58"/>
    <n v="6"/>
    <n v="794.58"/>
  </r>
  <r>
    <s v="45E29448"/>
    <m/>
    <m/>
    <s v="CUST7711"/>
    <s v="John Brown"/>
    <s v="New Zealand"/>
    <s v="Abu Dhabi"/>
    <s v="Chinese"/>
    <s v="Spring Rolls"/>
    <n v="478"/>
    <n v="39.15"/>
    <n v="2.6"/>
    <n v="18.84"/>
    <n v="5"/>
    <n v="15"/>
    <n v="1413"/>
    <n v="1.37"/>
    <n v="1411.63"/>
  </r>
  <r>
    <s v="3817B182"/>
    <m/>
    <m/>
    <s v="CUST2420"/>
    <s v="Sophia Brown"/>
    <s v="Qatar"/>
    <s v="Abu Dhabi"/>
    <s v="Chinese"/>
    <s v="Veg Biryani"/>
    <n v="4457"/>
    <n v="38.99"/>
    <n v="1.3"/>
    <n v="13.42"/>
    <n v="1"/>
    <n v="20"/>
    <n v="268.39999999999998"/>
    <n v="4.26"/>
    <n v="264.14"/>
  </r>
  <r>
    <s v="F195FF84"/>
    <m/>
    <m/>
    <s v="CUST5238"/>
    <s v="Priya Brown"/>
    <s v="Singapore"/>
    <s v="Abu Dhabi"/>
    <s v="Chinese"/>
    <s v="Pasta Alfredo"/>
    <n v="833"/>
    <n v="35.15"/>
    <n v="1.6"/>
    <n v="25.75"/>
    <n v="1"/>
    <n v="19"/>
    <n v="489.25"/>
    <n v="4.03"/>
    <n v="485.22"/>
  </r>
  <r>
    <s v="9CE2B539"/>
    <m/>
    <m/>
    <s v="CUST4283"/>
    <s v="Ahmed Smith"/>
    <s v="Brazil"/>
    <s v="Abu Dhabi"/>
    <s v="North Indian, Chinese"/>
    <s v="Masala Dosa"/>
    <n v="623"/>
    <n v="39.770000000000003"/>
    <n v="1.8"/>
    <n v="22.56"/>
    <n v="3"/>
    <n v="9"/>
    <n v="609.11999999999989"/>
    <n v="9.1999999999999993"/>
    <n v="599.91999999999996"/>
  </r>
  <r>
    <s v="912381DE"/>
    <m/>
    <m/>
    <s v="CUST5470"/>
    <s v="Kumar Khan"/>
    <s v="Canada"/>
    <s v="Agra"/>
    <s v="North Indian"/>
    <s v="Chicken Biryani"/>
    <n v="1019"/>
    <n v="32.76"/>
    <n v="1.3"/>
    <n v="21.29"/>
    <n v="3"/>
    <n v="4"/>
    <n v="255.48"/>
    <n v="2.2200000000000002"/>
    <n v="253.26"/>
  </r>
  <r>
    <s v="AF7B36E3"/>
    <m/>
    <m/>
    <s v="CUST5974"/>
    <s v="Emily Smith"/>
    <s v="Indonesia"/>
    <s v="Agra"/>
    <s v="Cafe"/>
    <s v="Sushi Platter"/>
    <n v="1595"/>
    <n v="10.37"/>
    <n v="4.4000000000000004"/>
    <n v="26.2"/>
    <n v="4"/>
    <n v="20"/>
    <n v="2096"/>
    <n v="3.21"/>
    <n v="2092.79"/>
  </r>
  <r>
    <s v="F4C28D9B"/>
    <m/>
    <m/>
    <s v="CUST8639"/>
    <s v="Kumar Singh"/>
    <s v="Qatar"/>
    <s v="Agra"/>
    <s v="North Indian, Mughlai"/>
    <s v="Pasta Alfredo"/>
    <n v="709"/>
    <n v="43.88"/>
    <n v="3.4"/>
    <n v="7.25"/>
    <n v="3"/>
    <n v="16"/>
    <n v="348"/>
    <n v="4.16"/>
    <n v="343.84"/>
  </r>
  <r>
    <s v="AD928194"/>
    <m/>
    <m/>
    <s v="CUST5841"/>
    <s v="Kumar Singh"/>
    <s v="South Africa"/>
    <s v="Agra"/>
    <s v="Chinese"/>
    <s v="Butter Chicken"/>
    <n v="3593"/>
    <n v="43.68"/>
    <n v="4.8"/>
    <n v="35.32"/>
    <n v="5"/>
    <n v="17"/>
    <n v="3002.2"/>
    <n v="8.2200000000000006"/>
    <n v="2993.98"/>
  </r>
  <r>
    <s v="A94F3C1A"/>
    <m/>
    <m/>
    <s v="CUST6756"/>
    <s v="Anita Garcia"/>
    <s v="India"/>
    <s v="Agra"/>
    <s v="Chinese"/>
    <s v="Fried Rice"/>
    <n v="1301"/>
    <n v="18.079999999999998"/>
    <n v="3.9"/>
    <n v="33.18"/>
    <n v="3"/>
    <n v="15"/>
    <n v="1493.1"/>
    <n v="9.49"/>
    <n v="1483.61"/>
  </r>
  <r>
    <s v="D2966CD8"/>
    <m/>
    <m/>
    <s v="CUST5009"/>
    <s v="Priya Khan"/>
    <s v="New Zealand"/>
    <s v="Agra"/>
    <s v="Cafe"/>
    <s v="Pasta Alfredo"/>
    <n v="2625"/>
    <n v="46.41"/>
    <n v="4.9000000000000004"/>
    <n v="13.84"/>
    <n v="4"/>
    <n v="12"/>
    <n v="664.31999999999994"/>
    <n v="2.65"/>
    <n v="661.67"/>
  </r>
  <r>
    <s v="FB42FE75"/>
    <m/>
    <m/>
    <s v="CUST8370"/>
    <s v="Emily Taylor"/>
    <s v="New Zealand"/>
    <s v="Agra"/>
    <s v="North Indian, Mughlai"/>
    <s v="Sushi Platter"/>
    <n v="4267"/>
    <n v="17.5"/>
    <n v="1.2"/>
    <n v="22.64"/>
    <n v="3"/>
    <n v="16"/>
    <n v="1086.72"/>
    <n v="4.68"/>
    <n v="1082.04"/>
  </r>
  <r>
    <s v="AB32514C"/>
    <m/>
    <m/>
    <s v="CUST4527"/>
    <s v="Priya Patel"/>
    <s v="India"/>
    <s v="Agra"/>
    <s v="North Indian"/>
    <s v="Grilled Sandwich"/>
    <n v="3175"/>
    <n v="33.44"/>
    <n v="1.1000000000000001"/>
    <n v="36.5"/>
    <n v="5"/>
    <n v="15"/>
    <n v="2737.5"/>
    <n v="4.29"/>
    <n v="2733.21"/>
  </r>
  <r>
    <s v="EA436733"/>
    <m/>
    <m/>
    <s v="CUST6532"/>
    <s v="John Lee"/>
    <s v="Indonesia"/>
    <s v="Agra"/>
    <s v="North Indian, Mughlai"/>
    <s v="Grilled Sandwich"/>
    <n v="990"/>
    <n v="23.52"/>
    <n v="4.4000000000000004"/>
    <n v="25.83"/>
    <n v="5"/>
    <n v="10"/>
    <n v="1291.4999999999998"/>
    <n v="7.86"/>
    <n v="1283.6400000000001"/>
  </r>
  <r>
    <s v="80A4CCE4"/>
    <m/>
    <m/>
    <s v="CUST8667"/>
    <s v="David Taylor"/>
    <s v="Singapore"/>
    <s v="Agra"/>
    <s v="North Indian, Chinese"/>
    <s v="Veg Biryani"/>
    <n v="4716"/>
    <n v="49.65"/>
    <n v="3.3"/>
    <n v="30.7"/>
    <n v="4"/>
    <n v="16"/>
    <n v="1964.8"/>
    <n v="9.2100000000000009"/>
    <n v="1955.59"/>
  </r>
  <r>
    <s v="8144AA63"/>
    <m/>
    <m/>
    <s v="CUST4497"/>
    <s v="Emily Lee"/>
    <s v="Qatar"/>
    <s v="Ahmedabad"/>
    <s v="North Indian, Mughlai"/>
    <s v="Fried Rice"/>
    <n v="339"/>
    <n v="6.85"/>
    <n v="2.4"/>
    <n v="6.61"/>
    <n v="3"/>
    <n v="16"/>
    <n v="317.28000000000003"/>
    <n v="1.53"/>
    <n v="315.75"/>
  </r>
  <r>
    <s v="90C267CD"/>
    <m/>
    <m/>
    <s v="CUST7324"/>
    <s v="Priya Sharma"/>
    <s v="New Zealand"/>
    <s v="Ahmedabad"/>
    <s v="North Indian, Mughlai"/>
    <s v="Sushi Platter"/>
    <n v="1278"/>
    <n v="40.729999999999997"/>
    <n v="2.2000000000000002"/>
    <n v="32.54"/>
    <n v="1"/>
    <n v="9"/>
    <n v="292.86"/>
    <n v="9.36"/>
    <n v="283.5"/>
  </r>
  <r>
    <s v="66B7982C"/>
    <m/>
    <m/>
    <s v="CUST5391"/>
    <s v="Priya Lee"/>
    <s v="Singapore"/>
    <s v="Ahmedabad"/>
    <s v="Chinese"/>
    <s v="Paneer Tikka"/>
    <n v="4275"/>
    <n v="16.059999999999999"/>
    <n v="3.8"/>
    <n v="29.41"/>
    <n v="3"/>
    <n v="2"/>
    <n v="176.46"/>
    <n v="3.03"/>
    <n v="173.43"/>
  </r>
  <r>
    <s v="8247A300"/>
    <m/>
    <m/>
    <s v="CUST3167"/>
    <s v="Priya Lee"/>
    <s v="Philippines"/>
    <s v="Ahmedabad"/>
    <s v="North Indian, Chinese"/>
    <s v="Cheeseburger"/>
    <n v="1362"/>
    <n v="41.78"/>
    <n v="4.2"/>
    <n v="26.18"/>
    <n v="4"/>
    <n v="4"/>
    <n v="418.88"/>
    <n v="8.1300000000000008"/>
    <n v="410.75"/>
  </r>
  <r>
    <s v="3C1AA027"/>
    <m/>
    <m/>
    <s v="CUST9986"/>
    <s v="Ravi Sharma"/>
    <s v="Brazil"/>
    <s v="Ahmedabad"/>
    <s v="North Indian, Chinese"/>
    <s v="Shawarma"/>
    <n v="4384"/>
    <n v="11.1"/>
    <n v="3.7"/>
    <n v="39.520000000000003"/>
    <n v="3"/>
    <n v="3"/>
    <n v="355.68"/>
    <n v="8.24"/>
    <n v="347.44"/>
  </r>
  <r>
    <s v="9E3A05EA"/>
    <m/>
    <m/>
    <s v="CUST6834"/>
    <s v="Anita Das"/>
    <s v="Brazil"/>
    <s v="Ahmedabad"/>
    <s v="North Indian, Mughlai"/>
    <s v="Spring Rolls"/>
    <n v="3101"/>
    <n v="36.24"/>
    <n v="3.6"/>
    <n v="33.700000000000003"/>
    <n v="1"/>
    <n v="7"/>
    <n v="235.90000000000003"/>
    <n v="0.1"/>
    <n v="235.8"/>
  </r>
  <r>
    <s v="A9FA3D61"/>
    <m/>
    <m/>
    <s v="CUST7346"/>
    <s v="Kumar Taylor"/>
    <s v="Indonesia"/>
    <s v="Ahmedabad"/>
    <s v="Cafe"/>
    <s v="Spring Rolls"/>
    <n v="3961"/>
    <n v="22.68"/>
    <n v="2.9"/>
    <n v="15.25"/>
    <n v="2"/>
    <n v="17"/>
    <n v="518.5"/>
    <n v="6.71"/>
    <n v="511.79"/>
  </r>
  <r>
    <s v="D921BE0D"/>
    <m/>
    <m/>
    <s v="CUST4822"/>
    <s v="Sara Patel"/>
    <s v="South Africa"/>
    <s v="Ahmedabad"/>
    <s v="North Indian, Mughlai"/>
    <s v="Shawarma"/>
    <n v="3295"/>
    <n v="49.51"/>
    <n v="2.5"/>
    <n v="22.38"/>
    <n v="1"/>
    <n v="8"/>
    <n v="179.04"/>
    <n v="7.96"/>
    <n v="171.08"/>
  </r>
  <r>
    <s v="EC0D3C39"/>
    <m/>
    <m/>
    <s v="CUST4640"/>
    <s v="Sara Sharma"/>
    <s v="Qatar"/>
    <s v="Ahmedabad"/>
    <s v="Cafe"/>
    <s v="Tandoori Roti"/>
    <n v="3999"/>
    <n v="22.59"/>
    <n v="3.8"/>
    <n v="12.51"/>
    <n v="1"/>
    <n v="8"/>
    <n v="100.08"/>
    <n v="3.39"/>
    <n v="96.69"/>
  </r>
  <r>
    <s v="F3CD7F65"/>
    <m/>
    <m/>
    <s v="CUST1613"/>
    <s v="Kumar Khan"/>
    <s v="South Africa"/>
    <s v="Ahmedabad"/>
    <s v="North Indian, Chinese"/>
    <s v="Margherita Pizza"/>
    <n v="3143"/>
    <n v="48.57"/>
    <n v="1.2"/>
    <n v="18.27"/>
    <n v="2"/>
    <n v="11"/>
    <n v="401.94"/>
    <n v="0.21"/>
    <n v="401.73"/>
  </r>
  <r>
    <s v="C55AA318"/>
    <m/>
    <m/>
    <s v="CUST3917"/>
    <s v="Priya Garcia"/>
    <s v="Canada"/>
    <s v="Ahmedabad"/>
    <s v="Chinese"/>
    <s v="Tandoori Roti"/>
    <n v="1590"/>
    <n v="10.96"/>
    <n v="3.7"/>
    <n v="22.11"/>
    <n v="4"/>
    <n v="2"/>
    <n v="176.88"/>
    <n v="6.66"/>
    <n v="170.22"/>
  </r>
  <r>
    <s v="133943F7"/>
    <m/>
    <m/>
    <s v="CUST8876"/>
    <s v="Anita Brown"/>
    <s v="Canada"/>
    <s v="Albany"/>
    <s v="North Indian, Chinese"/>
    <s v="Momos"/>
    <n v="997"/>
    <n v="18.600000000000001"/>
    <n v="2.7"/>
    <n v="12.87"/>
    <n v="3"/>
    <n v="9"/>
    <n v="347.49"/>
    <n v="3.95"/>
    <n v="343.54"/>
  </r>
  <r>
    <s v="8FB2AA34"/>
    <m/>
    <m/>
    <s v="CUST7997"/>
    <s v="Sara Singh"/>
    <s v="India"/>
    <s v="Albany"/>
    <s v="Chinese"/>
    <s v="Chicken Biryani"/>
    <n v="4732"/>
    <n v="22.65"/>
    <n v="4.9000000000000004"/>
    <n v="21.3"/>
    <n v="3"/>
    <n v="20"/>
    <n v="1278"/>
    <n v="3.87"/>
    <n v="1274.1300000000001"/>
  </r>
  <r>
    <s v="F3927C35"/>
    <m/>
    <m/>
    <s v="CUST2835"/>
    <s v="Kumar Sharma"/>
    <s v="Philippines"/>
    <s v="Albany"/>
    <s v="Chinese"/>
    <s v="Momos"/>
    <n v="976"/>
    <n v="13.74"/>
    <n v="2"/>
    <n v="11.02"/>
    <n v="4"/>
    <n v="9"/>
    <n v="396.71999999999997"/>
    <n v="0.68"/>
    <n v="396.04"/>
  </r>
  <r>
    <s v="3427860C"/>
    <m/>
    <m/>
    <s v="CUST1720"/>
    <s v="John Sharma"/>
    <s v="Singapore"/>
    <s v="Albany"/>
    <s v="Chinese"/>
    <s v="Paneer Tikka"/>
    <n v="3185"/>
    <n v="18.64"/>
    <n v="1.7"/>
    <n v="12.17"/>
    <n v="2"/>
    <n v="19"/>
    <n v="462.46"/>
    <n v="4.4800000000000004"/>
    <n v="457.98"/>
  </r>
  <r>
    <s v="969F6444"/>
    <m/>
    <m/>
    <s v="CUST4318"/>
    <s v="Kumar Taylor"/>
    <s v="Brazil"/>
    <s v="Albany"/>
    <s v="Chinese"/>
    <s v="Paneer Tikka"/>
    <n v="4098"/>
    <n v="49.66"/>
    <n v="1.1000000000000001"/>
    <n v="21.35"/>
    <n v="4"/>
    <n v="11"/>
    <n v="939.40000000000009"/>
    <n v="7.28"/>
    <n v="932.12"/>
  </r>
  <r>
    <s v="781F1C02"/>
    <m/>
    <m/>
    <s v="CUST3753"/>
    <s v="Priya Smith"/>
    <s v="Singapore"/>
    <s v="Albany"/>
    <s v="North Indian, Chinese"/>
    <s v="Momos"/>
    <n v="4678"/>
    <n v="17.54"/>
    <n v="4.4000000000000004"/>
    <n v="22.6"/>
    <n v="3"/>
    <n v="16"/>
    <n v="1084.8000000000002"/>
    <n v="5.82"/>
    <n v="1078.98"/>
  </r>
  <r>
    <s v="80787C80"/>
    <m/>
    <m/>
    <s v="CUST9964"/>
    <s v="Ravi Smith"/>
    <s v="Indonesia"/>
    <s v="Albany"/>
    <s v="North Indian, Mughlai"/>
    <s v="Fried Rice"/>
    <n v="1159"/>
    <n v="32.840000000000003"/>
    <n v="3.4"/>
    <n v="13.17"/>
    <n v="1"/>
    <n v="17"/>
    <n v="223.89"/>
    <n v="2.04"/>
    <n v="221.85"/>
  </r>
  <r>
    <s v="5BEF8764"/>
    <m/>
    <m/>
    <s v="CUST5979"/>
    <s v="John Sharma"/>
    <s v="India"/>
    <s v="Albany"/>
    <s v="North Indian"/>
    <s v="Paneer Tikka"/>
    <n v="4979"/>
    <n v="35.46"/>
    <n v="4.4000000000000004"/>
    <n v="9.32"/>
    <n v="5"/>
    <n v="4"/>
    <n v="186.4"/>
    <n v="5.6"/>
    <n v="180.8"/>
  </r>
  <r>
    <s v="4485C4BC"/>
    <m/>
    <m/>
    <s v="CUST9696"/>
    <s v="Priya Smith"/>
    <s v="Singapore"/>
    <s v="Albany"/>
    <s v="Chinese"/>
    <s v="Cheeseburger"/>
    <n v="2388"/>
    <n v="19.16"/>
    <n v="2.5"/>
    <n v="5.42"/>
    <n v="4"/>
    <n v="19"/>
    <n v="411.92"/>
    <n v="8.6300000000000008"/>
    <n v="403.29"/>
  </r>
  <r>
    <s v="25CF1600"/>
    <m/>
    <m/>
    <s v="CUST3998"/>
    <s v="David Taylor"/>
    <s v="South Africa"/>
    <s v="Albany"/>
    <s v="Cafe"/>
    <s v="Cheeseburger"/>
    <n v="4666"/>
    <n v="40.33"/>
    <n v="2.8"/>
    <n v="10.63"/>
    <n v="1"/>
    <n v="11"/>
    <n v="116.93"/>
    <n v="4.51"/>
    <n v="112.42"/>
  </r>
  <r>
    <s v="45169EF5"/>
    <m/>
    <m/>
    <s v="CUST8422"/>
    <s v="David Das"/>
    <s v="Canada"/>
    <s v="Albany"/>
    <s v="North Indian"/>
    <s v="Cheeseburger"/>
    <n v="2785"/>
    <n v="23.61"/>
    <n v="4.5999999999999996"/>
    <n v="13.38"/>
    <n v="3"/>
    <n v="12"/>
    <n v="481.68"/>
    <n v="2.96"/>
    <n v="478.72"/>
  </r>
  <r>
    <s v="E08CB522"/>
    <m/>
    <m/>
    <s v="CUST6569"/>
    <s v="Sophia Taylor"/>
    <s v="Qatar"/>
    <s v="Albany"/>
    <s v="Chinese"/>
    <s v="Paneer Tikka"/>
    <n v="1412"/>
    <n v="14.94"/>
    <n v="4.7"/>
    <n v="22.07"/>
    <n v="5"/>
    <n v="19"/>
    <n v="2096.65"/>
    <n v="9.52"/>
    <n v="2087.13"/>
  </r>
  <r>
    <s v="87F75B69"/>
    <m/>
    <m/>
    <s v="CUST3944"/>
    <s v="Sophia Patel"/>
    <s v="Canada"/>
    <s v="Albany"/>
    <s v="North Indian, Mughlai"/>
    <s v="Sushi Platter"/>
    <n v="3711"/>
    <n v="25.23"/>
    <n v="4.5999999999999996"/>
    <n v="19.670000000000002"/>
    <n v="5"/>
    <n v="5"/>
    <n v="491.75000000000006"/>
    <n v="6.94"/>
    <n v="484.81"/>
  </r>
  <r>
    <s v="7BE27E68"/>
    <m/>
    <m/>
    <s v="CUST7054"/>
    <s v="Emily Das"/>
    <s v="Indonesia"/>
    <s v="Albany"/>
    <s v="Chinese"/>
    <s v="Chicken Biryani"/>
    <n v="4576"/>
    <n v="5.76"/>
    <n v="3.7"/>
    <n v="9.31"/>
    <n v="2"/>
    <n v="14"/>
    <n v="260.68"/>
    <n v="0.36"/>
    <n v="260.32"/>
  </r>
  <r>
    <s v="A099B1AB"/>
    <m/>
    <m/>
    <s v="CUST5737"/>
    <s v="Sara Garcia"/>
    <s v="New Zealand"/>
    <s v="Albany"/>
    <s v="Chinese"/>
    <s v="Chicken Biryani"/>
    <n v="567"/>
    <n v="29.01"/>
    <n v="3.8"/>
    <n v="28.2"/>
    <n v="2"/>
    <n v="11"/>
    <n v="620.4"/>
    <n v="6.44"/>
    <n v="613.96"/>
  </r>
  <r>
    <s v="A72AC8B4"/>
    <m/>
    <m/>
    <s v="CUST8607"/>
    <s v="John Das"/>
    <s v="New Zealand"/>
    <s v="Allahabad"/>
    <s v="North Indian"/>
    <s v="Butter Chicken"/>
    <n v="2810"/>
    <n v="24.15"/>
    <n v="3"/>
    <n v="12.47"/>
    <n v="1"/>
    <n v="1"/>
    <n v="12.47"/>
    <n v="7.82"/>
    <n v="4.6500000000000004"/>
  </r>
  <r>
    <s v="6A5D9F94"/>
    <m/>
    <m/>
    <s v="CUST4432"/>
    <s v="Ahmed Sharma"/>
    <s v="South Africa"/>
    <s v="Allahabad"/>
    <s v="Chinese"/>
    <s v="Pasta Alfredo"/>
    <n v="4962"/>
    <n v="41.36"/>
    <n v="3.9"/>
    <n v="14.14"/>
    <n v="4"/>
    <n v="4"/>
    <n v="226.24"/>
    <n v="1.9"/>
    <n v="224.34"/>
  </r>
  <r>
    <s v="66E156B0"/>
    <m/>
    <m/>
    <s v="CUST9057"/>
    <s v="Ahmed Brown"/>
    <s v="Philippines"/>
    <s v="Allahabad"/>
    <s v="Chinese"/>
    <s v="Paneer Tikka"/>
    <n v="1756"/>
    <n v="28.95"/>
    <n v="1.4"/>
    <n v="5.62"/>
    <n v="1"/>
    <n v="12"/>
    <n v="67.44"/>
    <n v="7.31"/>
    <n v="60.13"/>
  </r>
  <r>
    <s v="AF6F04FF"/>
    <m/>
    <m/>
    <s v="CUST3096"/>
    <s v="John Sharma"/>
    <s v="India"/>
    <s v="Allahabad"/>
    <s v="North Indian"/>
    <s v="Momos"/>
    <n v="4323"/>
    <n v="10.11"/>
    <n v="1.2"/>
    <n v="6.07"/>
    <n v="1"/>
    <n v="11"/>
    <n v="66.77000000000001"/>
    <n v="2.4"/>
    <n v="64.37"/>
  </r>
  <r>
    <s v="8A601897"/>
    <m/>
    <m/>
    <s v="CUST5413"/>
    <s v="Sara Garcia"/>
    <s v="New Zealand"/>
    <s v="Allahabad"/>
    <s v="Cafe"/>
    <s v="Margherita Pizza"/>
    <n v="3890"/>
    <n v="30.92"/>
    <n v="3.7"/>
    <n v="11.13"/>
    <n v="1"/>
    <n v="4"/>
    <n v="44.52"/>
    <n v="4.0599999999999996"/>
    <n v="40.46"/>
  </r>
  <r>
    <s v="16D836AB"/>
    <m/>
    <m/>
    <s v="CUST3509"/>
    <s v="Ravi Garcia"/>
    <s v="Australia"/>
    <s v="Allahabad"/>
    <s v="Chinese"/>
    <s v="Tandoori Roti"/>
    <n v="1388"/>
    <n v="31.75"/>
    <n v="4.4000000000000004"/>
    <n v="14.02"/>
    <n v="2"/>
    <n v="17"/>
    <n v="476.68"/>
    <n v="3.71"/>
    <n v="472.97"/>
  </r>
  <r>
    <s v="C6878BE6"/>
    <m/>
    <m/>
    <s v="CUST9818"/>
    <s v="Anita Garcia"/>
    <s v="Qatar"/>
    <s v="Allahabad"/>
    <s v="North Indian"/>
    <s v="Paneer Tikka"/>
    <n v="4195"/>
    <n v="40.08"/>
    <n v="1.8"/>
    <n v="8.1300000000000008"/>
    <n v="4"/>
    <n v="16"/>
    <n v="520.32000000000005"/>
    <n v="3.85"/>
    <n v="516.47"/>
  </r>
  <r>
    <s v="0E9A57D6"/>
    <m/>
    <m/>
    <s v="CUST4825"/>
    <s v="Sara Sharma"/>
    <s v="Philippines"/>
    <s v="Amritsar"/>
    <s v="North Indian, Mughlai"/>
    <s v="Sushi Platter"/>
    <n v="3609"/>
    <n v="23.95"/>
    <n v="4.9000000000000004"/>
    <n v="22.83"/>
    <n v="4"/>
    <n v="11"/>
    <n v="1004.52"/>
    <n v="1.19"/>
    <n v="1003.33"/>
  </r>
  <r>
    <s v="FDD8ACDC"/>
    <m/>
    <m/>
    <s v="CUST4569"/>
    <s v="Sophia Garcia"/>
    <s v="Qatar"/>
    <s v="Amritsar"/>
    <s v="North Indian, Mughlai"/>
    <s v="Momos"/>
    <n v="3305"/>
    <n v="7.93"/>
    <n v="2.5"/>
    <n v="29.37"/>
    <n v="2"/>
    <n v="16"/>
    <n v="939.84"/>
    <n v="4.9000000000000004"/>
    <n v="934.94"/>
  </r>
  <r>
    <s v="34616240"/>
    <m/>
    <m/>
    <s v="CUST3697"/>
    <s v="Emily Taylor"/>
    <s v="Australia"/>
    <s v="Amritsar"/>
    <s v="Chinese"/>
    <s v="Sushi Platter"/>
    <n v="4416"/>
    <n v="34.380000000000003"/>
    <n v="3"/>
    <n v="17.38"/>
    <n v="3"/>
    <n v="1"/>
    <n v="52.14"/>
    <n v="6.09"/>
    <n v="46.05"/>
  </r>
  <r>
    <s v="8045BD29"/>
    <m/>
    <m/>
    <s v="CUST2241"/>
    <s v="Kumar Taylor"/>
    <s v="Qatar"/>
    <s v="Amritsar"/>
    <s v="North Indian, Mughlai"/>
    <s v="Butter Chicken"/>
    <n v="1220"/>
    <n v="41.79"/>
    <n v="3.1"/>
    <n v="27.24"/>
    <n v="1"/>
    <n v="5"/>
    <n v="136.19999999999999"/>
    <n v="3.14"/>
    <n v="133.06"/>
  </r>
  <r>
    <s v="220A2574"/>
    <m/>
    <m/>
    <s v="CUST4855"/>
    <s v="Anita Smith"/>
    <s v="Qatar"/>
    <s v="Amritsar"/>
    <s v="North Indian"/>
    <s v="Sushi Platter"/>
    <n v="4252"/>
    <n v="17.48"/>
    <n v="3.7"/>
    <n v="18.579999999999998"/>
    <n v="5"/>
    <n v="20"/>
    <n v="1857.9999999999998"/>
    <n v="9.7100000000000009"/>
    <n v="1848.29"/>
  </r>
  <r>
    <s v="1F7B78B4"/>
    <m/>
    <m/>
    <s v="CUST8673"/>
    <s v="David Singh"/>
    <s v="Brazil"/>
    <s v="Amritsar"/>
    <s v="Cafe"/>
    <s v="Margherita Pizza"/>
    <n v="4791"/>
    <n v="18.989999999999998"/>
    <n v="3.5"/>
    <n v="24.61"/>
    <n v="5"/>
    <n v="16"/>
    <n v="1968.8"/>
    <n v="9.98"/>
    <n v="1958.82"/>
  </r>
  <r>
    <s v="8551159F"/>
    <m/>
    <m/>
    <s v="CUST9887"/>
    <s v="John Garcia"/>
    <s v="Indonesia"/>
    <s v="Amritsar"/>
    <s v="Cafe"/>
    <s v="Pasta Alfredo"/>
    <n v="984"/>
    <n v="30.59"/>
    <n v="2.2999999999999998"/>
    <n v="28.89"/>
    <n v="2"/>
    <n v="10"/>
    <n v="577.79999999999995"/>
    <n v="5.45"/>
    <n v="572.35"/>
  </r>
  <r>
    <s v="6E2E2D6C"/>
    <m/>
    <m/>
    <s v="CUST9512"/>
    <s v="Sara Garcia"/>
    <s v="New Zealand"/>
    <s v="Amritsar"/>
    <s v="Chinese"/>
    <s v="Butter Chicken"/>
    <n v="3042"/>
    <n v="16.170000000000002"/>
    <n v="3.9"/>
    <n v="26.47"/>
    <n v="4"/>
    <n v="8"/>
    <n v="847.04"/>
    <n v="6.36"/>
    <n v="840.68"/>
  </r>
  <r>
    <s v="672093E7"/>
    <m/>
    <m/>
    <s v="CUST1352"/>
    <s v="Sara Das"/>
    <s v="New Zealand"/>
    <s v="Amritsar"/>
    <s v="North Indian, Chinese"/>
    <s v="Paneer Tikka"/>
    <n v="4844"/>
    <n v="9.9700000000000006"/>
    <n v="2.6"/>
    <n v="30.77"/>
    <n v="5"/>
    <n v="13"/>
    <n v="2000.05"/>
    <n v="6.29"/>
    <n v="1993.76"/>
  </r>
  <r>
    <s v="B3207B8E"/>
    <m/>
    <m/>
    <s v="CUST3714"/>
    <s v="John Lee"/>
    <s v="Brazil"/>
    <s v="Amritsar"/>
    <s v="North Indian, Chinese"/>
    <s v="Butter Chicken"/>
    <n v="2033"/>
    <n v="23.79"/>
    <n v="2.7"/>
    <n v="18.760000000000002"/>
    <n v="4"/>
    <n v="12"/>
    <n v="900.48"/>
    <n v="5.27"/>
    <n v="895.21"/>
  </r>
  <r>
    <s v="C85FA1FA"/>
    <m/>
    <m/>
    <s v="CUST4333"/>
    <s v="Priya Smith"/>
    <s v="Brazil"/>
    <s v="Amritsar"/>
    <s v="North Indian, Mughlai"/>
    <s v="Pasta Alfredo"/>
    <n v="4118"/>
    <n v="6.75"/>
    <n v="1.1000000000000001"/>
    <n v="19.3"/>
    <n v="2"/>
    <n v="5"/>
    <n v="193"/>
    <n v="8.68"/>
    <n v="184.32"/>
  </r>
  <r>
    <s v="0F942C69"/>
    <m/>
    <m/>
    <s v="CUST9454"/>
    <s v="Priya Das"/>
    <s v="New Zealand"/>
    <s v="Ankara"/>
    <s v="North Indian, Chinese"/>
    <s v="Margherita Pizza"/>
    <n v="2450"/>
    <n v="41.36"/>
    <n v="1.8"/>
    <n v="9.66"/>
    <n v="5"/>
    <n v="8"/>
    <n v="386.4"/>
    <n v="2.02"/>
    <n v="384.38"/>
  </r>
  <r>
    <s v="97E2ADA4"/>
    <m/>
    <m/>
    <s v="CUST8733"/>
    <s v="Ahmed Taylor"/>
    <s v="Singapore"/>
    <s v="Ankara"/>
    <s v="Cafe"/>
    <s v="Shawarma"/>
    <n v="668"/>
    <n v="17.11"/>
    <n v="3.3"/>
    <n v="25.87"/>
    <n v="3"/>
    <n v="19"/>
    <n v="1474.59"/>
    <n v="4.78"/>
    <n v="1469.81"/>
  </r>
  <r>
    <s v="121FEEE0"/>
    <m/>
    <m/>
    <s v="CUST9827"/>
    <s v="Emily Lee"/>
    <s v="Australia"/>
    <s v="Ankara"/>
    <s v="North Indian, Mughlai"/>
    <s v="Tandoori Roti"/>
    <n v="1603"/>
    <n v="32.19"/>
    <n v="2.9"/>
    <n v="5.73"/>
    <n v="4"/>
    <n v="9"/>
    <n v="206.28000000000003"/>
    <n v="2.16"/>
    <n v="204.12"/>
  </r>
  <r>
    <s v="5369E487"/>
    <m/>
    <m/>
    <s v="CUST2265"/>
    <s v="John Khan"/>
    <s v="Indonesia"/>
    <s v="Ankara"/>
    <s v="Chinese"/>
    <s v="Grilled Sandwich"/>
    <n v="2837"/>
    <n v="24.78"/>
    <n v="4.5999999999999996"/>
    <n v="27.69"/>
    <n v="3"/>
    <n v="19"/>
    <n v="1578.3300000000002"/>
    <n v="1.22"/>
    <n v="1577.11"/>
  </r>
  <r>
    <s v="50CE7CC3"/>
    <m/>
    <m/>
    <s v="CUST1770"/>
    <s v="Emily Garcia"/>
    <s v="Qatar"/>
    <s v="Ankara"/>
    <s v="North Indian, Chinese"/>
    <s v="Paneer Tikka"/>
    <n v="710"/>
    <n v="34.96"/>
    <n v="2.2000000000000002"/>
    <n v="27.04"/>
    <n v="5"/>
    <n v="1"/>
    <n v="135.19999999999999"/>
    <n v="8.6"/>
    <n v="126.6"/>
  </r>
  <r>
    <s v="116214AD"/>
    <m/>
    <m/>
    <s v="CUST7575"/>
    <s v="Kumar Brown"/>
    <s v="Singapore"/>
    <s v="Ankara"/>
    <s v="Chinese"/>
    <s v="Grilled Sandwich"/>
    <n v="135"/>
    <n v="35.33"/>
    <n v="4.5999999999999996"/>
    <n v="12.03"/>
    <n v="1"/>
    <n v="13"/>
    <n v="156.38999999999999"/>
    <n v="6.54"/>
    <n v="149.85"/>
  </r>
  <r>
    <s v="CAFE03BB"/>
    <m/>
    <m/>
    <s v="CUST2216"/>
    <s v="Emily Singh"/>
    <s v="New Zealand"/>
    <s v="Ankara"/>
    <s v="Cafe"/>
    <s v="Shawarma"/>
    <n v="3179"/>
    <n v="37.72"/>
    <n v="1.7"/>
    <n v="14.85"/>
    <n v="5"/>
    <n v="14"/>
    <n v="1039.5"/>
    <n v="8.31"/>
    <n v="1031.19"/>
  </r>
  <r>
    <s v="EE708FDC"/>
    <m/>
    <m/>
    <s v="CUST3726"/>
    <s v="Ahmed Smith"/>
    <s v="Canada"/>
    <s v="Ankara"/>
    <s v="North Indian, Mughlai"/>
    <s v="Paneer Tikka"/>
    <n v="1054"/>
    <n v="34.090000000000003"/>
    <n v="2.7"/>
    <n v="5.7"/>
    <n v="5"/>
    <n v="5"/>
    <n v="142.5"/>
    <n v="6.85"/>
    <n v="135.65"/>
  </r>
  <r>
    <s v="AE9E2C93"/>
    <m/>
    <m/>
    <s v="CUST5770"/>
    <s v="David Smith"/>
    <s v="South Africa"/>
    <s v="Ankara"/>
    <s v="North Indian, Chinese"/>
    <s v="Sushi Platter"/>
    <n v="2510"/>
    <n v="43.01"/>
    <n v="2.8"/>
    <n v="13.28"/>
    <n v="2"/>
    <n v="1"/>
    <n v="26.56"/>
    <n v="4.41"/>
    <n v="22.15"/>
  </r>
  <r>
    <s v="BE2D6825"/>
    <m/>
    <m/>
    <s v="CUST9753"/>
    <s v="Sara Taylor"/>
    <s v="South Africa"/>
    <s v="Ankara"/>
    <s v="Chinese"/>
    <s v="Tandoori Roti"/>
    <n v="3023"/>
    <n v="18.93"/>
    <n v="2.8"/>
    <n v="34.99"/>
    <n v="2"/>
    <n v="10"/>
    <n v="699.80000000000007"/>
    <n v="5.84"/>
    <n v="693.96"/>
  </r>
  <r>
    <s v="055D4F61"/>
    <m/>
    <m/>
    <s v="CUST8506"/>
    <s v="Anita Taylor"/>
    <s v="Philippines"/>
    <s v="Ankara"/>
    <s v="Chinese"/>
    <s v="Chicken Biryani"/>
    <n v="1680"/>
    <n v="16.489999999999998"/>
    <n v="1.1000000000000001"/>
    <n v="7.91"/>
    <n v="3"/>
    <n v="8"/>
    <n v="189.84"/>
    <n v="6.04"/>
    <n v="183.8"/>
  </r>
  <r>
    <s v="03A60750"/>
    <m/>
    <m/>
    <s v="CUST6774"/>
    <s v="Priya Brown"/>
    <s v="New Zealand"/>
    <s v="Athens"/>
    <s v="North Indian, Chinese"/>
    <s v="Grilled Sandwich"/>
    <n v="3981"/>
    <n v="24.38"/>
    <n v="3.9"/>
    <n v="10.78"/>
    <n v="4"/>
    <n v="18"/>
    <n v="776.16"/>
    <n v="5.9"/>
    <n v="770.26"/>
  </r>
  <r>
    <s v="FA76C601"/>
    <m/>
    <m/>
    <s v="CUST7553"/>
    <s v="Ahmed Sharma"/>
    <s v="Indonesia"/>
    <s v="Athens"/>
    <s v="North Indian, Chinese"/>
    <s v="Pasta Alfredo"/>
    <n v="2803"/>
    <n v="16.93"/>
    <n v="3.7"/>
    <n v="24.82"/>
    <n v="3"/>
    <n v="20"/>
    <n v="1489.2000000000003"/>
    <n v="6.75"/>
    <n v="1482.45"/>
  </r>
  <r>
    <s v="D644991A"/>
    <m/>
    <m/>
    <s v="CUST1568"/>
    <s v="Anita Smith"/>
    <s v="New Zealand"/>
    <s v="Athens"/>
    <s v="North Indian"/>
    <s v="Fried Rice"/>
    <n v="3583"/>
    <n v="32.72"/>
    <n v="2.4"/>
    <n v="30.47"/>
    <n v="4"/>
    <n v="6"/>
    <n v="731.28"/>
    <n v="7.09"/>
    <n v="724.19"/>
  </r>
  <r>
    <s v="74B224FD"/>
    <m/>
    <m/>
    <s v="CUST1612"/>
    <s v="David Patel"/>
    <s v="New Zealand"/>
    <s v="Athens"/>
    <s v="North Indian, Mughlai"/>
    <s v="Butter Chicken"/>
    <n v="4792"/>
    <n v="39.61"/>
    <n v="3.7"/>
    <n v="26.05"/>
    <n v="1"/>
    <n v="5"/>
    <n v="130.25"/>
    <n v="8.81"/>
    <n v="121.44"/>
  </r>
  <r>
    <s v="DA7B8667"/>
    <m/>
    <m/>
    <s v="CUST9496"/>
    <s v="Anita Singh"/>
    <s v="Brazil"/>
    <s v="Athens"/>
    <s v="Chinese"/>
    <s v="Chicken Biryani"/>
    <n v="621"/>
    <n v="9.0399999999999991"/>
    <n v="4.5999999999999996"/>
    <n v="30.89"/>
    <n v="4"/>
    <n v="20"/>
    <n v="2471.1999999999998"/>
    <n v="5.1100000000000003"/>
    <n v="2466.09"/>
  </r>
  <r>
    <s v="5A1CC0ED"/>
    <m/>
    <m/>
    <s v="CUST1082"/>
    <s v="Emily Singh"/>
    <s v="Singapore"/>
    <s v="Athens"/>
    <s v="North Indian, Chinese"/>
    <s v="Veg Biryani"/>
    <n v="1611"/>
    <n v="34.799999999999997"/>
    <n v="2.1"/>
    <n v="35.92"/>
    <n v="4"/>
    <n v="4"/>
    <n v="574.72"/>
    <n v="7"/>
    <n v="567.72"/>
  </r>
  <r>
    <s v="3013AA3D"/>
    <m/>
    <m/>
    <s v="CUST7887"/>
    <s v="Emily Patel"/>
    <s v="New Zealand"/>
    <s v="Athens"/>
    <s v="North Indian, Mughlai"/>
    <s v="Cheeseburger"/>
    <n v="3910"/>
    <n v="24.16"/>
    <n v="4.5"/>
    <n v="33.15"/>
    <n v="5"/>
    <n v="18"/>
    <n v="2983.5"/>
    <n v="5.35"/>
    <n v="2978.15"/>
  </r>
  <r>
    <s v="6FC80BE9"/>
    <m/>
    <m/>
    <s v="CUST4896"/>
    <s v="Kumar Patel"/>
    <s v="Qatar"/>
    <s v="Athens"/>
    <s v="North Indian"/>
    <s v="Tandoori Roti"/>
    <n v="4629"/>
    <n v="21.44"/>
    <n v="2.2000000000000002"/>
    <n v="36.07"/>
    <n v="5"/>
    <n v="4"/>
    <n v="721.4"/>
    <n v="7.72"/>
    <n v="713.68"/>
  </r>
  <r>
    <s v="EF3A7C50"/>
    <m/>
    <m/>
    <s v="CUST8921"/>
    <s v="Ahmed Smith"/>
    <s v="South Africa"/>
    <s v="Athens"/>
    <s v="North Indian, Chinese"/>
    <s v="Pasta Alfredo"/>
    <n v="3463"/>
    <n v="26.32"/>
    <n v="1.7"/>
    <n v="34.909999999999997"/>
    <n v="2"/>
    <n v="6"/>
    <n v="418.91999999999996"/>
    <n v="3.48"/>
    <n v="415.44"/>
  </r>
  <r>
    <s v="FB5E0F11"/>
    <m/>
    <m/>
    <s v="CUST2799"/>
    <s v="Ahmed Brown"/>
    <s v="South Africa"/>
    <s v="Athens"/>
    <s v="North Indian, Mughlai"/>
    <s v="Momos"/>
    <n v="3425"/>
    <n v="12.07"/>
    <n v="3.1"/>
    <n v="16.8"/>
    <n v="3"/>
    <n v="14"/>
    <n v="705.60000000000014"/>
    <n v="9.43"/>
    <n v="696.17"/>
  </r>
  <r>
    <s v="923F6149"/>
    <m/>
    <m/>
    <s v="CUST9255"/>
    <s v="Anita Lee"/>
    <s v="India"/>
    <s v="Athens"/>
    <s v="North Indian, Chinese"/>
    <s v="Paneer Tikka"/>
    <n v="1387"/>
    <n v="31.15"/>
    <n v="2.8"/>
    <n v="21.19"/>
    <n v="3"/>
    <n v="11"/>
    <n v="699.2700000000001"/>
    <n v="6.61"/>
    <n v="692.66"/>
  </r>
  <r>
    <s v="CA9D127C"/>
    <m/>
    <m/>
    <s v="CUST6672"/>
    <s v="John Khan"/>
    <s v="Qatar"/>
    <s v="Athens"/>
    <s v="North Indian, Chinese"/>
    <s v="Margherita Pizza"/>
    <n v="3454"/>
    <n v="43.32"/>
    <n v="4.2"/>
    <n v="37.32"/>
    <n v="1"/>
    <n v="19"/>
    <n v="709.08"/>
    <n v="7.33"/>
    <n v="701.75"/>
  </r>
  <r>
    <s v="B5E91ED4"/>
    <m/>
    <m/>
    <s v="CUST9836"/>
    <s v="Ahmed Patel"/>
    <s v="Philippines"/>
    <s v="Athens"/>
    <s v="North Indian"/>
    <s v="Margherita Pizza"/>
    <n v="383"/>
    <n v="23.5"/>
    <n v="3.9"/>
    <n v="18.3"/>
    <n v="5"/>
    <n v="5"/>
    <n v="457.5"/>
    <n v="4.5199999999999996"/>
    <n v="452.98"/>
  </r>
  <r>
    <s v="AFE91F25"/>
    <m/>
    <m/>
    <s v="CUST7498"/>
    <s v="Emily Patel"/>
    <s v="Brazil"/>
    <s v="Auckland"/>
    <s v="North Indian, Mughlai"/>
    <s v="Veg Biryani"/>
    <n v="1776"/>
    <n v="42.12"/>
    <n v="4.5999999999999996"/>
    <n v="11.54"/>
    <n v="4"/>
    <n v="16"/>
    <n v="738.56"/>
    <n v="1.39"/>
    <n v="737.17"/>
  </r>
  <r>
    <s v="0E3D1738"/>
    <m/>
    <m/>
    <s v="CUST7246"/>
    <s v="Ahmed Lee"/>
    <s v="Philippines"/>
    <s v="Auckland"/>
    <s v="North Indian, Mughlai"/>
    <s v="Chicken Biryani"/>
    <n v="4491"/>
    <n v="7.82"/>
    <n v="3.3"/>
    <n v="21.95"/>
    <n v="5"/>
    <n v="14"/>
    <n v="1536.5"/>
    <n v="7.48"/>
    <n v="1529.02"/>
  </r>
  <r>
    <s v="3EBD8DE3"/>
    <m/>
    <m/>
    <s v="CUST5846"/>
    <s v="Priya Singh"/>
    <s v="South Africa"/>
    <s v="Auckland"/>
    <s v="North Indian, Mughlai"/>
    <s v="Masala Dosa"/>
    <n v="3975"/>
    <n v="21.25"/>
    <n v="2.1"/>
    <n v="16.11"/>
    <n v="1"/>
    <n v="18"/>
    <n v="289.98"/>
    <n v="5.51"/>
    <n v="284.47000000000003"/>
  </r>
  <r>
    <s v="6F82A632"/>
    <m/>
    <m/>
    <s v="CUST4117"/>
    <s v="Priya Sharma"/>
    <s v="New Zealand"/>
    <s v="Auckland"/>
    <s v="North Indian"/>
    <s v="Veg Biryani"/>
    <n v="2646"/>
    <n v="29.61"/>
    <n v="1.8"/>
    <n v="21.46"/>
    <n v="4"/>
    <n v="13"/>
    <n v="1115.92"/>
    <n v="3.76"/>
    <n v="1112.1600000000001"/>
  </r>
  <r>
    <s v="75D84991"/>
    <m/>
    <m/>
    <s v="CUST3679"/>
    <s v="Anita Patel"/>
    <s v="Philippines"/>
    <s v="Auckland"/>
    <s v="North Indian, Chinese"/>
    <s v="Pasta Alfredo"/>
    <n v="4607"/>
    <n v="22.16"/>
    <n v="1.4"/>
    <n v="18.14"/>
    <n v="2"/>
    <n v="12"/>
    <n v="435.36"/>
    <n v="9.3000000000000007"/>
    <n v="426.06"/>
  </r>
  <r>
    <s v="60E57B8C"/>
    <m/>
    <m/>
    <s v="CUST2201"/>
    <s v="Ahmed Patel"/>
    <s v="South Africa"/>
    <s v="Auckland"/>
    <s v="North Indian"/>
    <s v="Pasta Alfredo"/>
    <n v="3212"/>
    <n v="38.67"/>
    <n v="2.6"/>
    <n v="24.28"/>
    <n v="2"/>
    <n v="20"/>
    <n v="971.2"/>
    <n v="9.08"/>
    <n v="962.12"/>
  </r>
  <r>
    <s v="7D837F45"/>
    <m/>
    <m/>
    <s v="CUST7687"/>
    <s v="Emily Das"/>
    <s v="Canada"/>
    <s v="Auckland"/>
    <s v="North Indian"/>
    <s v="Pasta Alfredo"/>
    <n v="452"/>
    <n v="29.35"/>
    <n v="4.5"/>
    <n v="20.45"/>
    <n v="4"/>
    <n v="18"/>
    <n v="1472.3999999999999"/>
    <n v="6.41"/>
    <n v="1465.99"/>
  </r>
  <r>
    <s v="330A1106"/>
    <m/>
    <m/>
    <s v="CUST3151"/>
    <s v="Priya Smith"/>
    <s v="Singapore"/>
    <s v="Auckland"/>
    <s v="North Indian"/>
    <s v="Grilled Sandwich"/>
    <n v="337"/>
    <n v="33.020000000000003"/>
    <n v="2.2999999999999998"/>
    <n v="14.63"/>
    <n v="4"/>
    <n v="4"/>
    <n v="234.08"/>
    <n v="2.14"/>
    <n v="231.94"/>
  </r>
  <r>
    <s v="58F6DDAC"/>
    <m/>
    <m/>
    <s v="CUST3886"/>
    <s v="John Taylor"/>
    <s v="Canada"/>
    <s v="Auckland"/>
    <s v="Chinese"/>
    <s v="Momos"/>
    <n v="3687"/>
    <n v="40.24"/>
    <n v="4.2"/>
    <n v="35.17"/>
    <n v="3"/>
    <n v="20"/>
    <n v="2110.2000000000003"/>
    <n v="0.24"/>
    <n v="2109.96"/>
  </r>
  <r>
    <s v="7A1433AD"/>
    <m/>
    <m/>
    <s v="CUST6546"/>
    <s v="Emily Khan"/>
    <s v="South Africa"/>
    <s v="Auckland"/>
    <s v="Chinese"/>
    <s v="Masala Dosa"/>
    <n v="1273"/>
    <n v="17.39"/>
    <n v="1.5"/>
    <n v="35.58"/>
    <n v="3"/>
    <n v="20"/>
    <n v="2134.7999999999997"/>
    <n v="1.18"/>
    <n v="2133.62"/>
  </r>
  <r>
    <s v="4651BFDE"/>
    <m/>
    <m/>
    <s v="CUST4613"/>
    <s v="Ahmed Singh"/>
    <s v="Philippines"/>
    <s v="Auckland"/>
    <s v="North Indian, Chinese"/>
    <s v="Fried Rice"/>
    <n v="4653"/>
    <n v="8.5"/>
    <n v="2.2000000000000002"/>
    <n v="39.33"/>
    <n v="1"/>
    <n v="12"/>
    <n v="471.96"/>
    <n v="6.06"/>
    <n v="465.9"/>
  </r>
  <r>
    <s v="4DC3314A"/>
    <m/>
    <m/>
    <s v="CUST2720"/>
    <s v="Ahmed Sharma"/>
    <s v="Canada"/>
    <s v="Auckland"/>
    <s v="North Indian, Chinese"/>
    <s v="Chicken Biryani"/>
    <n v="2093"/>
    <n v="35.6"/>
    <n v="4.5"/>
    <n v="14.08"/>
    <n v="1"/>
    <n v="14"/>
    <n v="197.12"/>
    <n v="1.53"/>
    <n v="195.59"/>
  </r>
  <r>
    <s v="3B64B077"/>
    <m/>
    <m/>
    <s v="CUST9943"/>
    <s v="Emily Patel"/>
    <s v="Qatar"/>
    <s v="Auckland"/>
    <s v="North Indian, Chinese"/>
    <s v="Cheeseburger"/>
    <n v="4925"/>
    <n v="44.46"/>
    <n v="4.5999999999999996"/>
    <n v="13.82"/>
    <n v="5"/>
    <n v="10"/>
    <n v="691"/>
    <n v="8.81"/>
    <n v="682.19"/>
  </r>
  <r>
    <s v="CF82A0F2"/>
    <m/>
    <m/>
    <s v="CUST4684"/>
    <s v="John Sharma"/>
    <s v="Qatar"/>
    <s v="Abu Dhabi"/>
    <s v="Chinese"/>
    <s v="Paneer Tikka"/>
    <n v="4803"/>
    <n v="24.84"/>
    <n v="3.5"/>
    <n v="19.23"/>
    <n v="1"/>
    <n v="8"/>
    <n v="153.84"/>
    <n v="9.7100000000000009"/>
    <n v="144.13"/>
  </r>
  <r>
    <s v="625DC01C"/>
    <m/>
    <m/>
    <s v="CUST9617"/>
    <s v="David Das"/>
    <s v="Qatar"/>
    <s v="Abu Dhabi"/>
    <s v="Chinese"/>
    <s v="Grilled Sandwich"/>
    <n v="3817"/>
    <n v="14.11"/>
    <n v="1.8"/>
    <n v="21.87"/>
    <n v="2"/>
    <n v="6"/>
    <n v="262.44"/>
    <n v="3.5"/>
    <n v="258.94"/>
  </r>
  <r>
    <s v="F21E9122"/>
    <m/>
    <m/>
    <s v="CUST2420"/>
    <s v="Priya Singh"/>
    <s v="Australia"/>
    <s v="Abu Dhabi"/>
    <s v="North Indian, Mughlai"/>
    <s v="Veg Biryani"/>
    <n v="1782"/>
    <n v="30.73"/>
    <n v="4.2"/>
    <n v="31.16"/>
    <n v="3"/>
    <n v="11"/>
    <n v="1028.28"/>
    <n v="10"/>
    <n v="1018.28"/>
  </r>
  <r>
    <s v="022557EE"/>
    <m/>
    <m/>
    <s v="CUST4882"/>
    <s v="Priya Khan"/>
    <s v="Qatar"/>
    <s v="Abu Dhabi"/>
    <s v="Chinese"/>
    <s v="Margherita Pizza"/>
    <n v="1012"/>
    <n v="26.97"/>
    <n v="1.7"/>
    <n v="30.92"/>
    <n v="4"/>
    <n v="18"/>
    <n v="2226.2400000000002"/>
    <n v="5.25"/>
    <n v="2220.9899999999998"/>
  </r>
  <r>
    <s v="53C5A054"/>
    <m/>
    <m/>
    <s v="CUST7157"/>
    <s v="Ahmed Sharma"/>
    <s v="New Zealand"/>
    <s v="Abu Dhabi"/>
    <s v="Chinese"/>
    <s v="Spring Rolls"/>
    <n v="3852"/>
    <n v="26.63"/>
    <n v="1.2"/>
    <n v="16.739999999999998"/>
    <n v="2"/>
    <n v="12"/>
    <n v="401.76"/>
    <n v="4.13"/>
    <n v="397.63"/>
  </r>
  <r>
    <s v="B2E0E648"/>
    <m/>
    <m/>
    <s v="CUST4961"/>
    <s v="Sophia Brown"/>
    <s v="Philippines"/>
    <s v="Abu Dhabi"/>
    <s v="North Indian"/>
    <s v="Chicken Biryani"/>
    <n v="4823"/>
    <n v="14.62"/>
    <n v="2.6"/>
    <n v="24.67"/>
    <n v="4"/>
    <n v="20"/>
    <n v="1973.6000000000001"/>
    <n v="7.66"/>
    <n v="1965.94"/>
  </r>
  <r>
    <s v="ECBE77F6"/>
    <m/>
    <m/>
    <s v="CUST7707"/>
    <s v="John Sharma"/>
    <s v="Indonesia"/>
    <s v="Abu Dhabi"/>
    <s v="Chinese"/>
    <s v="Momos"/>
    <n v="3667"/>
    <n v="26.63"/>
    <n v="2.2999999999999998"/>
    <n v="16.489999999999998"/>
    <n v="2"/>
    <n v="6"/>
    <n v="197.88"/>
    <n v="0.52"/>
    <n v="197.36"/>
  </r>
  <r>
    <s v="13F7B2BD"/>
    <m/>
    <m/>
    <s v="CUST4539"/>
    <s v="Sara Khan"/>
    <s v="Philippines"/>
    <s v="Abu Dhabi"/>
    <s v="North Indian"/>
    <s v="Shawarma"/>
    <n v="1041"/>
    <n v="39.130000000000003"/>
    <n v="4.4000000000000004"/>
    <n v="36.020000000000003"/>
    <n v="2"/>
    <n v="17"/>
    <n v="1224.68"/>
    <n v="4.32"/>
    <n v="1220.3599999999999"/>
  </r>
  <r>
    <s v="E25349CB"/>
    <m/>
    <m/>
    <s v="CUST3967"/>
    <s v="Ahmed Smith"/>
    <s v="Philippines"/>
    <s v="Abu Dhabi"/>
    <s v="Chinese"/>
    <s v="Cheeseburger"/>
    <n v="1705"/>
    <n v="11.55"/>
    <n v="1.6"/>
    <n v="19.829999999999998"/>
    <n v="1"/>
    <n v="13"/>
    <n v="257.78999999999996"/>
    <n v="1.86"/>
    <n v="255.93"/>
  </r>
  <r>
    <s v="C26034BD"/>
    <m/>
    <m/>
    <s v="CUST7219"/>
    <s v="Ravi Garcia"/>
    <s v="Qatar"/>
    <s v="Abu Dhabi"/>
    <s v="North Indian, Mughlai"/>
    <s v="Spring Rolls"/>
    <n v="3334"/>
    <n v="36.619999999999997"/>
    <n v="2.9"/>
    <n v="7.23"/>
    <n v="1"/>
    <n v="17"/>
    <n v="122.91000000000001"/>
    <n v="7.23"/>
    <n v="115.68"/>
  </r>
  <r>
    <s v="ADF9DB89"/>
    <m/>
    <m/>
    <s v="CUST7638"/>
    <s v="Ahmed Singh"/>
    <s v="Australia"/>
    <s v="Abu Dhabi"/>
    <s v="Cafe"/>
    <s v="Veg Biryani"/>
    <n v="500"/>
    <n v="13.48"/>
    <n v="3.6"/>
    <n v="31.53"/>
    <n v="4"/>
    <n v="11"/>
    <n v="1387.3200000000002"/>
    <n v="8.84"/>
    <n v="1378.48"/>
  </r>
  <r>
    <s v="D6A426A2"/>
    <m/>
    <m/>
    <s v="CUST3244"/>
    <s v="Priya Patel"/>
    <s v="Australia"/>
    <s v="Abu Dhabi"/>
    <s v="North Indian, Mughlai"/>
    <s v="Pasta Alfredo"/>
    <n v="973"/>
    <n v="22.33"/>
    <n v="1.2"/>
    <n v="21.43"/>
    <n v="5"/>
    <n v="3"/>
    <n v="321.45000000000005"/>
    <n v="5.3"/>
    <n v="316.14999999999998"/>
  </r>
  <r>
    <s v="8FB3CEC0"/>
    <m/>
    <m/>
    <s v="CUST6903"/>
    <s v="Sara Brown"/>
    <s v="Qatar"/>
    <s v="Abu Dhabi"/>
    <s v="North Indian, Mughlai"/>
    <s v="Veg Biryani"/>
    <n v="950"/>
    <n v="24.51"/>
    <n v="1.1000000000000001"/>
    <n v="35.99"/>
    <n v="5"/>
    <n v="1"/>
    <n v="179.95000000000002"/>
    <n v="5.08"/>
    <n v="174.87"/>
  </r>
  <r>
    <s v="80ECE806"/>
    <m/>
    <m/>
    <s v="CUST8442"/>
    <s v="Ahmed Das"/>
    <s v="New Zealand"/>
    <s v="Abu Dhabi"/>
    <s v="North Indian, Chinese"/>
    <s v="Sushi Platter"/>
    <n v="2127"/>
    <n v="28.55"/>
    <n v="1.4"/>
    <n v="18.64"/>
    <n v="3"/>
    <n v="10"/>
    <n v="559.20000000000005"/>
    <n v="5.5"/>
    <n v="553.70000000000005"/>
  </r>
  <r>
    <s v="FA4261A4"/>
    <m/>
    <m/>
    <s v="CUST9017"/>
    <s v="Anita Singh"/>
    <s v="Brazil"/>
    <s v="Agra"/>
    <s v="Cafe"/>
    <s v="Spring Rolls"/>
    <n v="3028"/>
    <n v="16.37"/>
    <n v="4.9000000000000004"/>
    <n v="25.25"/>
    <n v="2"/>
    <n v="1"/>
    <n v="50.5"/>
    <n v="8.24"/>
    <n v="42.26"/>
  </r>
  <r>
    <s v="4777320D"/>
    <m/>
    <m/>
    <s v="CUST1475"/>
    <s v="Ahmed Lee"/>
    <s v="Brazil"/>
    <s v="Agra"/>
    <s v="North Indian"/>
    <s v="Paneer Tikka"/>
    <n v="1210"/>
    <n v="35.18"/>
    <n v="2.5"/>
    <n v="28.54"/>
    <n v="5"/>
    <n v="5"/>
    <n v="713.5"/>
    <n v="9.43"/>
    <n v="704.07"/>
  </r>
  <r>
    <s v="FB5BEBAE"/>
    <m/>
    <m/>
    <s v="CUST9373"/>
    <s v="Ahmed Taylor"/>
    <s v="South Africa"/>
    <s v="Agra"/>
    <s v="North Indian, Chinese"/>
    <s v="Spring Rolls"/>
    <n v="1279"/>
    <n v="35.479999999999997"/>
    <n v="1.4"/>
    <n v="6.39"/>
    <n v="4"/>
    <n v="3"/>
    <n v="76.679999999999993"/>
    <n v="9.9499999999999993"/>
    <n v="66.73"/>
  </r>
  <r>
    <s v="7FEE6424"/>
    <m/>
    <m/>
    <s v="CUST4941"/>
    <s v="John Smith"/>
    <s v="Brazil"/>
    <s v="Agra"/>
    <s v="Chinese"/>
    <s v="Spring Rolls"/>
    <n v="3180"/>
    <n v="44.35"/>
    <n v="3.5"/>
    <n v="31.58"/>
    <n v="4"/>
    <n v="16"/>
    <n v="2021.12"/>
    <n v="0.24"/>
    <n v="2020.88"/>
  </r>
  <r>
    <s v="E616AB85"/>
    <m/>
    <m/>
    <s v="CUST8647"/>
    <s v="Sophia Sharma"/>
    <s v="India"/>
    <s v="Agra"/>
    <s v="North Indian, Chinese"/>
    <s v="Spring Rolls"/>
    <n v="3686"/>
    <n v="47.82"/>
    <n v="1.3"/>
    <n v="39.75"/>
    <n v="5"/>
    <n v="10"/>
    <n v="1987.5"/>
    <n v="3.5"/>
    <n v="1984"/>
  </r>
  <r>
    <s v="56ADED34"/>
    <m/>
    <m/>
    <s v="CUST5744"/>
    <s v="Anita Smith"/>
    <s v="Australia"/>
    <s v="Agra"/>
    <s v="Chinese"/>
    <s v="Chicken Biryani"/>
    <n v="1850"/>
    <n v="32.43"/>
    <n v="3.6"/>
    <n v="10.63"/>
    <n v="3"/>
    <n v="17"/>
    <n v="542.13"/>
    <n v="5.8"/>
    <n v="536.33000000000004"/>
  </r>
  <r>
    <s v="0B53207D"/>
    <m/>
    <m/>
    <s v="CUST2151"/>
    <s v="Priya Patel"/>
    <s v="Singapore"/>
    <s v="Agra"/>
    <s v="North Indian, Chinese"/>
    <s v="Butter Chicken"/>
    <n v="1139"/>
    <n v="34.89"/>
    <n v="1.3"/>
    <n v="30.54"/>
    <n v="5"/>
    <n v="9"/>
    <n v="1374.3"/>
    <n v="4.6900000000000004"/>
    <n v="1369.61"/>
  </r>
  <r>
    <s v="37810734"/>
    <m/>
    <m/>
    <s v="CUST7175"/>
    <s v="Sophia Garcia"/>
    <s v="New Zealand"/>
    <s v="Agra"/>
    <s v="North Indian, Chinese"/>
    <s v="Shawarma"/>
    <n v="185"/>
    <n v="18.75"/>
    <n v="4.5999999999999996"/>
    <n v="34.64"/>
    <n v="1"/>
    <n v="20"/>
    <n v="692.8"/>
    <n v="3.97"/>
    <n v="688.83"/>
  </r>
  <r>
    <s v="3C714D4D"/>
    <m/>
    <m/>
    <s v="CUST4228"/>
    <s v="Sophia Sharma"/>
    <s v="Australia"/>
    <s v="Agra"/>
    <s v="North Indian"/>
    <s v="Veg Biryani"/>
    <n v="2507"/>
    <n v="28.71"/>
    <n v="3.9"/>
    <n v="14.01"/>
    <n v="1"/>
    <n v="18"/>
    <n v="252.18"/>
    <n v="8.82"/>
    <n v="243.36"/>
  </r>
  <r>
    <s v="78F0072C"/>
    <m/>
    <m/>
    <s v="CUST4540"/>
    <s v="Sophia Taylor"/>
    <s v="Indonesia"/>
    <s v="Agra"/>
    <s v="North Indian, Chinese"/>
    <s v="Grilled Sandwich"/>
    <n v="3627"/>
    <n v="23.87"/>
    <n v="4.0999999999999996"/>
    <n v="29.34"/>
    <n v="4"/>
    <n v="6"/>
    <n v="704.16"/>
    <n v="4.03"/>
    <n v="700.13"/>
  </r>
  <r>
    <s v="3B317D5C"/>
    <m/>
    <m/>
    <s v="CUST1973"/>
    <s v="Ahmed Brown"/>
    <s v="Indonesia"/>
    <s v="Ahmedabad"/>
    <s v="Cafe"/>
    <s v="Butter Chicken"/>
    <n v="1644"/>
    <n v="24.52"/>
    <n v="2.6"/>
    <n v="37.47"/>
    <n v="3"/>
    <n v="19"/>
    <n v="2135.79"/>
    <n v="4"/>
    <n v="2131.79"/>
  </r>
  <r>
    <s v="89870636"/>
    <m/>
    <m/>
    <s v="CUST7405"/>
    <s v="Priya Sharma"/>
    <s v="Australia"/>
    <s v="Ahmedabad"/>
    <s v="Chinese"/>
    <s v="Masala Dosa"/>
    <n v="1695"/>
    <n v="48.85"/>
    <n v="2.9"/>
    <n v="23.12"/>
    <n v="3"/>
    <n v="5"/>
    <n v="346.8"/>
    <n v="8.41"/>
    <n v="338.39"/>
  </r>
  <r>
    <s v="F1378A02"/>
    <m/>
    <m/>
    <s v="CUST2220"/>
    <s v="John Lee"/>
    <s v="India"/>
    <s v="Ahmedabad"/>
    <s v="Cafe"/>
    <s v="Spring Rolls"/>
    <n v="4692"/>
    <n v="27.18"/>
    <n v="4.8"/>
    <n v="10.73"/>
    <n v="1"/>
    <n v="18"/>
    <n v="193.14000000000001"/>
    <n v="6.77"/>
    <n v="186.37"/>
  </r>
  <r>
    <s v="FCD2315D"/>
    <m/>
    <m/>
    <s v="CUST2253"/>
    <s v="Ravi Lee"/>
    <s v="Qatar"/>
    <s v="Ahmedabad"/>
    <s v="North Indian"/>
    <s v="Butter Chicken"/>
    <n v="76"/>
    <n v="7.39"/>
    <n v="2.2999999999999998"/>
    <n v="14.42"/>
    <n v="4"/>
    <n v="19"/>
    <n v="1095.92"/>
    <n v="9.8000000000000007"/>
    <n v="1086.1199999999999"/>
  </r>
  <r>
    <s v="34027C4D"/>
    <m/>
    <m/>
    <s v="CUST9502"/>
    <s v="Emily Taylor"/>
    <s v="Indonesia"/>
    <s v="Ahmedabad"/>
    <s v="North Indian"/>
    <s v="Tandoori Roti"/>
    <n v="2961"/>
    <n v="36.869999999999997"/>
    <n v="3.1"/>
    <n v="34.53"/>
    <n v="2"/>
    <n v="5"/>
    <n v="345.3"/>
    <n v="2.3199999999999998"/>
    <n v="342.98"/>
  </r>
  <r>
    <s v="8D7F2AF7"/>
    <m/>
    <m/>
    <s v="CUST8632"/>
    <s v="Ravi Sharma"/>
    <s v="Brazil"/>
    <s v="Ahmedabad"/>
    <s v="North Indian, Chinese"/>
    <s v="Fried Rice"/>
    <n v="4344"/>
    <n v="7.78"/>
    <n v="4.8"/>
    <n v="27.13"/>
    <n v="5"/>
    <n v="14"/>
    <n v="1899.1000000000001"/>
    <n v="7.58"/>
    <n v="1891.52"/>
  </r>
  <r>
    <s v="49307775"/>
    <m/>
    <m/>
    <s v="CUST4572"/>
    <s v="Anita Singh"/>
    <s v="India"/>
    <s v="Ahmedabad"/>
    <s v="Cafe"/>
    <s v="Cheeseburger"/>
    <n v="3036"/>
    <n v="38.159999999999997"/>
    <n v="3.7"/>
    <n v="28"/>
    <n v="2"/>
    <n v="5"/>
    <n v="280"/>
    <n v="8.6300000000000008"/>
    <n v="271.37"/>
  </r>
  <r>
    <s v="64698B35"/>
    <m/>
    <m/>
    <s v="CUST3642"/>
    <s v="Priya Khan"/>
    <s v="Qatar"/>
    <s v="Ahmedabad"/>
    <s v="North Indian, Chinese"/>
    <s v="Paneer Tikka"/>
    <n v="1996"/>
    <n v="19.59"/>
    <n v="1.7"/>
    <n v="28.44"/>
    <n v="5"/>
    <n v="14"/>
    <n v="1990.8000000000002"/>
    <n v="4.95"/>
    <n v="1985.85"/>
  </r>
  <r>
    <s v="33D6D6BD"/>
    <m/>
    <m/>
    <s v="CUST1350"/>
    <s v="Kumar Sharma"/>
    <s v="Philippines"/>
    <s v="Ahmedabad"/>
    <s v="North Indian, Mughlai"/>
    <s v="Grilled Sandwich"/>
    <n v="3098"/>
    <n v="6.51"/>
    <n v="2.6"/>
    <n v="21.84"/>
    <n v="5"/>
    <n v="15"/>
    <n v="1638"/>
    <n v="3.04"/>
    <n v="1634.96"/>
  </r>
  <r>
    <s v="A73EAC89"/>
    <m/>
    <m/>
    <s v="CUST6726"/>
    <s v="Sophia Garcia"/>
    <s v="Brazil"/>
    <s v="Ahmedabad"/>
    <s v="North Indian"/>
    <s v="Paneer Tikka"/>
    <n v="1682"/>
    <n v="17.93"/>
    <n v="2.5"/>
    <n v="35.9"/>
    <n v="4"/>
    <n v="19"/>
    <n v="2728.4"/>
    <n v="9.74"/>
    <n v="2718.66"/>
  </r>
  <r>
    <s v="69658236"/>
    <m/>
    <m/>
    <s v="CUST9175"/>
    <s v="Sophia Smith"/>
    <s v="Brazil"/>
    <s v="Ahmedabad"/>
    <s v="North Indian"/>
    <s v="Fried Rice"/>
    <n v="2489"/>
    <n v="7.6"/>
    <n v="4.9000000000000004"/>
    <n v="33.380000000000003"/>
    <n v="3"/>
    <n v="12"/>
    <n v="1201.6800000000003"/>
    <n v="8.33"/>
    <n v="1193.3499999999999"/>
  </r>
  <r>
    <s v="7156F024"/>
    <m/>
    <m/>
    <s v="CUST6206"/>
    <s v="David Das"/>
    <s v="Canada"/>
    <s v="Ahmedabad"/>
    <s v="Chinese"/>
    <s v="Chicken Biryani"/>
    <n v="4527"/>
    <n v="22.97"/>
    <n v="1.9"/>
    <n v="18.68"/>
    <n v="2"/>
    <n v="18"/>
    <n v="672.48"/>
    <n v="8.08"/>
    <n v="664.4"/>
  </r>
  <r>
    <s v="195B9F5A"/>
    <m/>
    <m/>
    <s v="CUST5008"/>
    <s v="Anita Garcia"/>
    <s v="India"/>
    <s v="Ahmedabad"/>
    <s v="North Indian"/>
    <s v="Paneer Tikka"/>
    <n v="4066"/>
    <n v="41.46"/>
    <n v="1.8"/>
    <n v="26.72"/>
    <n v="1"/>
    <n v="7"/>
    <n v="187.04"/>
    <n v="8.18"/>
    <n v="178.86"/>
  </r>
  <r>
    <s v="DDA66B38"/>
    <m/>
    <m/>
    <s v="CUST1275"/>
    <s v="Anita Lee"/>
    <s v="Qatar"/>
    <s v="Ahmedabad"/>
    <s v="North Indian, Mughlai"/>
    <s v="Spring Rolls"/>
    <n v="1801"/>
    <n v="45.83"/>
    <n v="3.8"/>
    <n v="26.8"/>
    <n v="3"/>
    <n v="14"/>
    <n v="1125.6000000000001"/>
    <n v="6.48"/>
    <n v="1119.1199999999999"/>
  </r>
  <r>
    <s v="A527398A"/>
    <m/>
    <m/>
    <s v="CUST2268"/>
    <s v="Sara Taylor"/>
    <s v="South Africa"/>
    <s v="Ahmedabad"/>
    <s v="North Indian, Chinese"/>
    <s v="Masala Dosa"/>
    <n v="3440"/>
    <n v="29.88"/>
    <n v="3.2"/>
    <n v="31.85"/>
    <n v="1"/>
    <n v="7"/>
    <n v="222.95000000000002"/>
    <n v="3.54"/>
    <n v="219.41"/>
  </r>
  <r>
    <s v="DBECD650"/>
    <m/>
    <m/>
    <s v="CUST1406"/>
    <s v="Ravi Sharma"/>
    <s v="Qatar"/>
    <s v="Ahmedabad"/>
    <s v="Cafe"/>
    <s v="Pasta Alfredo"/>
    <n v="816"/>
    <n v="23.03"/>
    <n v="4"/>
    <n v="14.35"/>
    <n v="2"/>
    <n v="5"/>
    <n v="143.5"/>
    <n v="4.9400000000000004"/>
    <n v="138.56"/>
  </r>
  <r>
    <s v="C023E13B"/>
    <m/>
    <m/>
    <s v="CUST9185"/>
    <s v="John Lee"/>
    <s v="Philippines"/>
    <s v="Albany"/>
    <s v="Cafe"/>
    <s v="Margherita Pizza"/>
    <n v="3383"/>
    <n v="28.57"/>
    <n v="4.4000000000000004"/>
    <n v="36.92"/>
    <n v="2"/>
    <n v="7"/>
    <n v="516.88"/>
    <n v="3.4"/>
    <n v="513.48"/>
  </r>
  <r>
    <s v="B35122BE"/>
    <m/>
    <m/>
    <s v="CUST8267"/>
    <s v="Sara Das"/>
    <s v="Brazil"/>
    <s v="Albany"/>
    <s v="North Indian"/>
    <s v="Paneer Tikka"/>
    <n v="1014"/>
    <n v="48.73"/>
    <n v="2.5"/>
    <n v="35.76"/>
    <n v="1"/>
    <n v="11"/>
    <n v="393.35999999999996"/>
    <n v="8.6199999999999992"/>
    <n v="384.74"/>
  </r>
  <r>
    <s v="9E8AAB48"/>
    <m/>
    <m/>
    <s v="CUST2411"/>
    <s v="Sara Patel"/>
    <s v="Indonesia"/>
    <s v="Albany"/>
    <s v="North Indian, Mughlai"/>
    <s v="Veg Biryani"/>
    <n v="2378"/>
    <n v="33.31"/>
    <n v="4.2"/>
    <n v="13.6"/>
    <n v="5"/>
    <n v="6"/>
    <n v="408"/>
    <n v="0.01"/>
    <n v="407.99"/>
  </r>
  <r>
    <s v="439374EA"/>
    <m/>
    <m/>
    <s v="CUST2662"/>
    <s v="John Khan"/>
    <s v="Indonesia"/>
    <s v="Albany"/>
    <s v="Chinese"/>
    <s v="Spring Rolls"/>
    <n v="3240"/>
    <n v="21"/>
    <n v="3.6"/>
    <n v="27.72"/>
    <n v="3"/>
    <n v="8"/>
    <n v="665.28"/>
    <n v="0.82"/>
    <n v="664.46"/>
  </r>
  <r>
    <s v="E869F1C0"/>
    <m/>
    <m/>
    <s v="CUST7401"/>
    <s v="Ravi Brown"/>
    <s v="South Africa"/>
    <s v="Albany"/>
    <s v="Chinese"/>
    <s v="Chicken Biryani"/>
    <n v="583"/>
    <n v="15.26"/>
    <n v="2.7"/>
    <n v="27.69"/>
    <n v="4"/>
    <n v="4"/>
    <n v="443.04"/>
    <n v="4.4800000000000004"/>
    <n v="438.56"/>
  </r>
  <r>
    <s v="6855BE14"/>
    <m/>
    <m/>
    <s v="CUST1604"/>
    <s v="Emily Sharma"/>
    <s v="Indonesia"/>
    <s v="Albany"/>
    <s v="Cafe"/>
    <s v="Momos"/>
    <n v="1647"/>
    <n v="37.22"/>
    <n v="3.9"/>
    <n v="5.19"/>
    <n v="3"/>
    <n v="13"/>
    <n v="202.41"/>
    <n v="1.61"/>
    <n v="200.8"/>
  </r>
  <r>
    <s v="0E571209"/>
    <m/>
    <m/>
    <s v="CUST4347"/>
    <s v="Sara Khan"/>
    <s v="Qatar"/>
    <s v="Albany"/>
    <s v="North Indian, Mughlai"/>
    <s v="Pasta Alfredo"/>
    <n v="4343"/>
    <n v="35.72"/>
    <n v="2.2000000000000002"/>
    <n v="9.1999999999999993"/>
    <n v="3"/>
    <n v="2"/>
    <n v="55.199999999999996"/>
    <n v="5.99"/>
    <n v="49.21"/>
  </r>
  <r>
    <s v="61764D69"/>
    <m/>
    <m/>
    <s v="CUST3315"/>
    <s v="Emily Sharma"/>
    <s v="South Africa"/>
    <s v="Albany"/>
    <s v="Cafe"/>
    <s v="Butter Chicken"/>
    <n v="2784"/>
    <n v="10.27"/>
    <n v="2.9"/>
    <n v="5.33"/>
    <n v="5"/>
    <n v="19"/>
    <n v="506.34999999999997"/>
    <n v="3.39"/>
    <n v="502.96"/>
  </r>
  <r>
    <s v="2C95167B"/>
    <m/>
    <m/>
    <s v="CUST7532"/>
    <s v="John Singh"/>
    <s v="Singapore"/>
    <s v="Albany"/>
    <s v="North Indian, Chinese"/>
    <s v="Sushi Platter"/>
    <n v="728"/>
    <n v="49.46"/>
    <n v="3.8"/>
    <n v="7.91"/>
    <n v="3"/>
    <n v="20"/>
    <n v="474.6"/>
    <n v="1.98"/>
    <n v="472.62"/>
  </r>
  <r>
    <s v="15FE6CB3"/>
    <m/>
    <m/>
    <s v="CUST2026"/>
    <s v="Kumar Das"/>
    <s v="New Zealand"/>
    <s v="Albany"/>
    <s v="North Indian, Mughlai"/>
    <s v="Chicken Biryani"/>
    <n v="4124"/>
    <n v="13.14"/>
    <n v="2.8"/>
    <n v="30.21"/>
    <n v="1"/>
    <n v="19"/>
    <n v="573.99"/>
    <n v="2.6"/>
    <n v="571.39"/>
  </r>
  <r>
    <s v="E50691DA"/>
    <m/>
    <m/>
    <s v="CUST4570"/>
    <s v="Ravi Khan"/>
    <s v="Indonesia"/>
    <s v="Albany"/>
    <s v="North Indian, Mughlai"/>
    <s v="Margherita Pizza"/>
    <n v="1419"/>
    <n v="31.65"/>
    <n v="4.5"/>
    <n v="34.17"/>
    <n v="1"/>
    <n v="9"/>
    <n v="307.53000000000003"/>
    <n v="7.09"/>
    <n v="300.44"/>
  </r>
  <r>
    <s v="E62D3C7F"/>
    <m/>
    <m/>
    <s v="CUST8238"/>
    <s v="David Lee"/>
    <s v="South Africa"/>
    <s v="Albany"/>
    <s v="North Indian"/>
    <s v="Shawarma"/>
    <n v="3703"/>
    <n v="25.88"/>
    <n v="3"/>
    <n v="33.42"/>
    <n v="1"/>
    <n v="13"/>
    <n v="434.46000000000004"/>
    <n v="7.15"/>
    <n v="427.31"/>
  </r>
  <r>
    <s v="5636153F"/>
    <m/>
    <m/>
    <s v="CUST4923"/>
    <s v="Anita Lee"/>
    <s v="South Africa"/>
    <s v="Albany"/>
    <s v="Cafe"/>
    <s v="Grilled Sandwich"/>
    <n v="3645"/>
    <n v="36.69"/>
    <n v="4.2"/>
    <n v="30.36"/>
    <n v="2"/>
    <n v="14"/>
    <n v="850.07999999999993"/>
    <n v="4.83"/>
    <n v="845.25"/>
  </r>
  <r>
    <s v="0CB97203"/>
    <m/>
    <m/>
    <s v="CUST6179"/>
    <s v="Anita Singh"/>
    <s v="South Africa"/>
    <s v="Allahabad"/>
    <s v="North Indian"/>
    <s v="Sushi Platter"/>
    <n v="2322"/>
    <n v="10.23"/>
    <n v="2.2000000000000002"/>
    <n v="27.37"/>
    <n v="1"/>
    <n v="19"/>
    <n v="520.03"/>
    <n v="7.0000000000000007E-2"/>
    <n v="519.96"/>
  </r>
  <r>
    <s v="BBEE5BC4"/>
    <m/>
    <m/>
    <s v="CUST6958"/>
    <s v="Priya Singh"/>
    <s v="Indonesia"/>
    <s v="Allahabad"/>
    <s v="North Indian, Chinese"/>
    <s v="Cheeseburger"/>
    <n v="2823"/>
    <n v="7.79"/>
    <n v="4.0999999999999996"/>
    <n v="19.059999999999999"/>
    <n v="4"/>
    <n v="15"/>
    <n v="1143.5999999999999"/>
    <n v="7.69"/>
    <n v="1135.9100000000001"/>
  </r>
  <r>
    <s v="F697184A"/>
    <m/>
    <m/>
    <s v="CUST5027"/>
    <s v="Ravi Smith"/>
    <s v="Canada"/>
    <s v="Allahabad"/>
    <s v="North Indian, Chinese"/>
    <s v="Pasta Alfredo"/>
    <n v="3825"/>
    <n v="18.989999999999998"/>
    <n v="4.2"/>
    <n v="10.68"/>
    <n v="1"/>
    <n v="10"/>
    <n v="106.8"/>
    <n v="7.93"/>
    <n v="98.87"/>
  </r>
  <r>
    <s v="432E8B3C"/>
    <m/>
    <m/>
    <s v="CUST1794"/>
    <s v="Emily Patel"/>
    <s v="Brazil"/>
    <s v="Allahabad"/>
    <s v="North Indian, Mughlai"/>
    <s v="Pasta Alfredo"/>
    <n v="3194"/>
    <n v="22.87"/>
    <n v="1.2"/>
    <n v="7.68"/>
    <n v="1"/>
    <n v="3"/>
    <n v="23.04"/>
    <n v="2.8"/>
    <n v="20.239999999999998"/>
  </r>
  <r>
    <s v="EF16AA03"/>
    <m/>
    <m/>
    <s v="CUST7927"/>
    <s v="Sara Brown"/>
    <s v="Indonesia"/>
    <s v="Allahabad"/>
    <s v="Cafe"/>
    <s v="Veg Biryani"/>
    <n v="4113"/>
    <n v="13.92"/>
    <n v="4.7"/>
    <n v="21.98"/>
    <n v="4"/>
    <n v="17"/>
    <n v="1494.64"/>
    <n v="9.2799999999999994"/>
    <n v="1485.36"/>
  </r>
  <r>
    <s v="75E5CC57"/>
    <m/>
    <m/>
    <s v="CUST3961"/>
    <s v="Sophia Brown"/>
    <s v="New Zealand"/>
    <s v="Allahabad"/>
    <s v="North Indian, Chinese"/>
    <s v="Spring Rolls"/>
    <n v="4202"/>
    <n v="33.75"/>
    <n v="3"/>
    <n v="17.440000000000001"/>
    <n v="1"/>
    <n v="20"/>
    <n v="348.8"/>
    <n v="7.12"/>
    <n v="341.68"/>
  </r>
  <r>
    <s v="FEE544C2"/>
    <m/>
    <m/>
    <s v="CUST8159"/>
    <s v="Emily Patel"/>
    <s v="Indonesia"/>
    <s v="Allahabad"/>
    <s v="North Indian, Chinese"/>
    <s v="Cheeseburger"/>
    <n v="2701"/>
    <n v="14.42"/>
    <n v="1.2"/>
    <n v="35.64"/>
    <n v="1"/>
    <n v="10"/>
    <n v="356.4"/>
    <n v="7.89"/>
    <n v="348.51"/>
  </r>
  <r>
    <s v="F011F6B6"/>
    <m/>
    <m/>
    <s v="CUST7256"/>
    <s v="John Das"/>
    <s v="Australia"/>
    <s v="Allahabad"/>
    <s v="North Indian"/>
    <s v="Pasta Alfredo"/>
    <n v="616"/>
    <n v="27.8"/>
    <n v="4.3"/>
    <n v="12.3"/>
    <n v="1"/>
    <n v="1"/>
    <n v="12.3"/>
    <n v="0.2"/>
    <n v="12.1"/>
  </r>
  <r>
    <s v="A82844EC"/>
    <m/>
    <m/>
    <s v="CUST2418"/>
    <s v="Sara Khan"/>
    <s v="Australia"/>
    <s v="Allahabad"/>
    <s v="Chinese"/>
    <s v="Fried Rice"/>
    <n v="4825"/>
    <n v="34.54"/>
    <n v="3.2"/>
    <n v="31.82"/>
    <n v="2"/>
    <n v="20"/>
    <n v="1272.8"/>
    <n v="9.69"/>
    <n v="1263.1099999999999"/>
  </r>
  <r>
    <s v="3DA4693F"/>
    <m/>
    <m/>
    <s v="CUST8489"/>
    <s v="David Brown"/>
    <s v="India"/>
    <s v="Allahabad"/>
    <s v="North Indian, Chinese"/>
    <s v="Tandoori Roti"/>
    <n v="1959"/>
    <n v="19.57"/>
    <n v="4.7"/>
    <n v="38.229999999999997"/>
    <n v="2"/>
    <n v="4"/>
    <n v="305.83999999999997"/>
    <n v="3.29"/>
    <n v="302.55"/>
  </r>
  <r>
    <s v="43E0ECA6"/>
    <m/>
    <m/>
    <s v="CUST9178"/>
    <s v="Priya Khan"/>
    <s v="Qatar"/>
    <s v="Allahabad"/>
    <s v="North Indian, Mughlai"/>
    <s v="Fried Rice"/>
    <n v="610"/>
    <n v="32.14"/>
    <n v="3.7"/>
    <n v="17"/>
    <n v="4"/>
    <n v="18"/>
    <n v="1224"/>
    <n v="8.32"/>
    <n v="1215.68"/>
  </r>
  <r>
    <s v="1DBE2261"/>
    <m/>
    <m/>
    <s v="CUST3635"/>
    <s v="Priya Khan"/>
    <s v="Qatar"/>
    <s v="Allahabad"/>
    <s v="Cafe"/>
    <s v="Margherita Pizza"/>
    <n v="1346"/>
    <n v="20.62"/>
    <n v="4.0999999999999996"/>
    <n v="13.08"/>
    <n v="2"/>
    <n v="11"/>
    <n v="287.76"/>
    <n v="4"/>
    <n v="283.76"/>
  </r>
  <r>
    <s v="51551E3A"/>
    <m/>
    <m/>
    <s v="CUST8409"/>
    <s v="Sara Patel"/>
    <s v="Australia"/>
    <s v="Allahabad"/>
    <s v="Chinese"/>
    <s v="Fried Rice"/>
    <n v="854"/>
    <n v="24.49"/>
    <n v="4.5999999999999996"/>
    <n v="14.1"/>
    <n v="5"/>
    <n v="8"/>
    <n v="564"/>
    <n v="7"/>
    <n v="557"/>
  </r>
  <r>
    <s v="8F579A17"/>
    <m/>
    <m/>
    <s v="CUST4225"/>
    <s v="Ravi Garcia"/>
    <s v="Brazil"/>
    <s v="Allahabad"/>
    <s v="Cafe"/>
    <s v="Cheeseburger"/>
    <n v="1050"/>
    <n v="31.78"/>
    <n v="4.2"/>
    <n v="22.55"/>
    <n v="1"/>
    <n v="17"/>
    <n v="383.35"/>
    <n v="1.52"/>
    <n v="381.83"/>
  </r>
  <r>
    <s v="BC15CFFB"/>
    <m/>
    <m/>
    <s v="CUST5904"/>
    <s v="Anita Brown"/>
    <s v="Philippines"/>
    <s v="Amritsar"/>
    <s v="Chinese"/>
    <s v="Butter Chicken"/>
    <n v="2834"/>
    <n v="30.8"/>
    <n v="3.2"/>
    <n v="19.059999999999999"/>
    <n v="5"/>
    <n v="1"/>
    <n v="95.3"/>
    <n v="1.24"/>
    <n v="94.06"/>
  </r>
  <r>
    <s v="EC4EEC9E"/>
    <m/>
    <m/>
    <s v="CUST8926"/>
    <s v="Priya Lee"/>
    <s v="Philippines"/>
    <s v="Amritsar"/>
    <s v="Chinese"/>
    <s v="Chicken Biryani"/>
    <n v="4442"/>
    <n v="29.71"/>
    <n v="4.5"/>
    <n v="9.15"/>
    <n v="3"/>
    <n v="19"/>
    <n v="521.55000000000007"/>
    <n v="4"/>
    <n v="517.54999999999995"/>
  </r>
  <r>
    <s v="85755785"/>
    <m/>
    <m/>
    <s v="CUST8401"/>
    <s v="Sara Das"/>
    <s v="Singapore"/>
    <s v="Amritsar"/>
    <s v="North Indian, Chinese"/>
    <s v="Cheeseburger"/>
    <n v="3098"/>
    <n v="30.27"/>
    <n v="1.6"/>
    <n v="23.03"/>
    <n v="5"/>
    <n v="3"/>
    <n v="345.45000000000005"/>
    <n v="1.08"/>
    <n v="344.37"/>
  </r>
  <r>
    <s v="9C53958B"/>
    <m/>
    <m/>
    <s v="CUST4934"/>
    <s v="Ahmed Khan"/>
    <s v="Philippines"/>
    <s v="Amritsar"/>
    <s v="North Indian, Mughlai"/>
    <s v="Pasta Alfredo"/>
    <n v="4242"/>
    <n v="44.55"/>
    <n v="1.2"/>
    <n v="31.56"/>
    <n v="5"/>
    <n v="3"/>
    <n v="473.4"/>
    <n v="3.42"/>
    <n v="469.98"/>
  </r>
  <r>
    <s v="0ABA3421"/>
    <m/>
    <m/>
    <s v="CUST3947"/>
    <s v="David Das"/>
    <s v="Singapore"/>
    <s v="Amritsar"/>
    <s v="Chinese"/>
    <s v="Masala Dosa"/>
    <n v="2880"/>
    <n v="45.13"/>
    <n v="1.3"/>
    <n v="35.56"/>
    <n v="4"/>
    <n v="16"/>
    <n v="2275.84"/>
    <n v="6.42"/>
    <n v="2269.42"/>
  </r>
  <r>
    <s v="C47F5E24"/>
    <m/>
    <m/>
    <s v="CUST3046"/>
    <s v="Sophia Lee"/>
    <s v="Indonesia"/>
    <s v="Amritsar"/>
    <s v="North Indian, Chinese"/>
    <s v="Fried Rice"/>
    <n v="489"/>
    <n v="45.04"/>
    <n v="4.3"/>
    <n v="33.840000000000003"/>
    <n v="1"/>
    <n v="4"/>
    <n v="135.36000000000001"/>
    <n v="9.7100000000000009"/>
    <n v="125.65"/>
  </r>
  <r>
    <s v="6F0E3C94"/>
    <m/>
    <m/>
    <s v="CUST3513"/>
    <s v="Ahmed Das"/>
    <s v="South Africa"/>
    <s v="Amritsar"/>
    <s v="North Indian, Mughlai"/>
    <s v="Fried Rice"/>
    <n v="85"/>
    <n v="7.51"/>
    <n v="3.7"/>
    <n v="7.27"/>
    <n v="1"/>
    <n v="8"/>
    <n v="58.16"/>
    <n v="3.22"/>
    <n v="54.94"/>
  </r>
  <r>
    <s v="8FA7842D"/>
    <m/>
    <m/>
    <s v="CUST9744"/>
    <s v="Ahmed Singh"/>
    <s v="New Zealand"/>
    <s v="Amritsar"/>
    <s v="North Indian, Mughlai"/>
    <s v="Margherita Pizza"/>
    <n v="3851"/>
    <n v="41.99"/>
    <n v="1.5"/>
    <n v="39.5"/>
    <n v="4"/>
    <n v="18"/>
    <n v="2844"/>
    <n v="2.87"/>
    <n v="2841.13"/>
  </r>
  <r>
    <s v="EE8E3001"/>
    <m/>
    <m/>
    <s v="CUST6527"/>
    <s v="John Brown"/>
    <s v="Canada"/>
    <s v="Amritsar"/>
    <s v="North Indian"/>
    <s v="Chicken Biryani"/>
    <n v="1819"/>
    <n v="29.79"/>
    <n v="1.7"/>
    <n v="31.71"/>
    <n v="1"/>
    <n v="15"/>
    <n v="475.65000000000003"/>
    <n v="5.33"/>
    <n v="470.32"/>
  </r>
  <r>
    <s v="0630EC5D"/>
    <m/>
    <m/>
    <s v="CUST6747"/>
    <s v="Emily Das"/>
    <s v="Qatar"/>
    <s v="Amritsar"/>
    <s v="North Indian, Mughlai"/>
    <s v="Tandoori Roti"/>
    <n v="1789"/>
    <n v="17.45"/>
    <n v="2.2999999999999998"/>
    <n v="7.5"/>
    <n v="4"/>
    <n v="5"/>
    <n v="150"/>
    <n v="0.14000000000000001"/>
    <n v="149.86000000000001"/>
  </r>
  <r>
    <s v="9A7A956F"/>
    <m/>
    <m/>
    <s v="CUST6294"/>
    <s v="Emily Smith"/>
    <s v="Indonesia"/>
    <s v="Amritsar"/>
    <s v="North Indian, Mughlai"/>
    <s v="Margherita Pizza"/>
    <n v="395"/>
    <n v="43.29"/>
    <n v="4.8"/>
    <n v="33.869999999999997"/>
    <n v="5"/>
    <n v="2"/>
    <n v="338.7"/>
    <n v="6.79"/>
    <n v="331.91"/>
  </r>
  <r>
    <s v="2F115777"/>
    <m/>
    <m/>
    <s v="CUST3529"/>
    <s v="Priya Das"/>
    <s v="South Africa"/>
    <s v="Amritsar"/>
    <s v="North Indian, Mughlai"/>
    <s v="Pasta Alfredo"/>
    <n v="458"/>
    <n v="27.85"/>
    <n v="1.6"/>
    <n v="20"/>
    <n v="1"/>
    <n v="9"/>
    <n v="180"/>
    <n v="4.7699999999999996"/>
    <n v="175.23"/>
  </r>
  <r>
    <s v="54B95ADB"/>
    <m/>
    <m/>
    <s v="CUST1596"/>
    <s v="Priya Khan"/>
    <s v="Qatar"/>
    <s v="Amritsar"/>
    <s v="North Indian, Mughlai"/>
    <s v="Tandoori Roti"/>
    <n v="583"/>
    <n v="26.55"/>
    <n v="3.4"/>
    <n v="32.630000000000003"/>
    <n v="3"/>
    <n v="10"/>
    <n v="978.90000000000009"/>
    <n v="0.9"/>
    <n v="978"/>
  </r>
  <r>
    <s v="0C05C41A"/>
    <m/>
    <m/>
    <s v="CUST2634"/>
    <s v="John Smith"/>
    <s v="Indonesia"/>
    <s v="Amritsar"/>
    <s v="Cafe"/>
    <s v="Spring Rolls"/>
    <n v="1073"/>
    <n v="17.18"/>
    <n v="2.7"/>
    <n v="7.94"/>
    <n v="2"/>
    <n v="1"/>
    <n v="15.88"/>
    <n v="4.55"/>
    <n v="11.33"/>
  </r>
  <r>
    <s v="289602A8"/>
    <m/>
    <m/>
    <s v="CUST4121"/>
    <s v="Sara Smith"/>
    <s v="New Zealand"/>
    <s v="Ankara"/>
    <s v="North Indian"/>
    <s v="Margherita Pizza"/>
    <n v="3277"/>
    <n v="32.35"/>
    <n v="1.8"/>
    <n v="16.96"/>
    <n v="5"/>
    <n v="5"/>
    <n v="424.00000000000006"/>
    <n v="7.12"/>
    <n v="416.88"/>
  </r>
  <r>
    <s v="90F48250"/>
    <m/>
    <m/>
    <s v="CUST6784"/>
    <s v="Sophia Khan"/>
    <s v="Canada"/>
    <s v="Ankara"/>
    <s v="North Indian"/>
    <s v="Veg Biryani"/>
    <n v="2271"/>
    <n v="20.420000000000002"/>
    <n v="4.8"/>
    <n v="5.21"/>
    <n v="2"/>
    <n v="17"/>
    <n v="177.14"/>
    <n v="3.23"/>
    <n v="173.91"/>
  </r>
  <r>
    <s v="578B4C9D"/>
    <m/>
    <m/>
    <s v="CUST3480"/>
    <s v="John Taylor"/>
    <s v="Indonesia"/>
    <s v="Ankara"/>
    <s v="Cafe"/>
    <s v="Shawarma"/>
    <n v="4172"/>
    <n v="49.79"/>
    <n v="3.7"/>
    <n v="11.56"/>
    <n v="2"/>
    <n v="15"/>
    <n v="346.8"/>
    <n v="2.14"/>
    <n v="344.66"/>
  </r>
  <r>
    <s v="37F4FAA7"/>
    <m/>
    <m/>
    <s v="CUST2926"/>
    <s v="Sara Das"/>
    <s v="India"/>
    <s v="Ankara"/>
    <s v="North Indian, Chinese"/>
    <s v="Masala Dosa"/>
    <n v="559"/>
    <n v="17.829999999999998"/>
    <n v="4.5"/>
    <n v="22.04"/>
    <n v="5"/>
    <n v="17"/>
    <n v="1873.3999999999999"/>
    <n v="2.5499999999999998"/>
    <n v="1870.85"/>
  </r>
  <r>
    <s v="BFE132BD"/>
    <m/>
    <m/>
    <s v="CUST7485"/>
    <s v="Ravi Khan"/>
    <s v="South Africa"/>
    <s v="Ankara"/>
    <s v="North Indian"/>
    <s v="Fried Rice"/>
    <n v="450"/>
    <n v="6.01"/>
    <n v="1.2"/>
    <n v="35.369999999999997"/>
    <n v="5"/>
    <n v="5"/>
    <n v="884.25"/>
    <n v="8.24"/>
    <n v="876.01"/>
  </r>
  <r>
    <s v="23A52E7F"/>
    <m/>
    <m/>
    <s v="CUST5996"/>
    <s v="Sara Garcia"/>
    <s v="Qatar"/>
    <s v="Ankara"/>
    <s v="Chinese"/>
    <s v="Spring Rolls"/>
    <n v="2020"/>
    <n v="41.69"/>
    <n v="1.7"/>
    <n v="32.56"/>
    <n v="4"/>
    <n v="2"/>
    <n v="260.48"/>
    <n v="5.9"/>
    <n v="254.58"/>
  </r>
  <r>
    <s v="57597925"/>
    <m/>
    <m/>
    <s v="CUST5596"/>
    <s v="Sara Sharma"/>
    <s v="Philippines"/>
    <s v="Ankara"/>
    <s v="Cafe"/>
    <s v="Shawarma"/>
    <n v="4436"/>
    <n v="37.18"/>
    <n v="2.6"/>
    <n v="28.89"/>
    <n v="4"/>
    <n v="10"/>
    <n v="1155.5999999999999"/>
    <n v="9.66"/>
    <n v="1145.94"/>
  </r>
  <r>
    <s v="C203232B"/>
    <m/>
    <m/>
    <s v="CUST9033"/>
    <s v="Ravi Brown"/>
    <s v="Singapore"/>
    <s v="Ankara"/>
    <s v="Chinese"/>
    <s v="Paneer Tikka"/>
    <n v="1920"/>
    <n v="20.79"/>
    <n v="4.9000000000000004"/>
    <n v="20.71"/>
    <n v="5"/>
    <n v="13"/>
    <n v="1346.15"/>
    <n v="3.21"/>
    <n v="1342.94"/>
  </r>
  <r>
    <s v="333DD765"/>
    <m/>
    <m/>
    <s v="CUST9635"/>
    <s v="Anita Singh"/>
    <s v="Singapore"/>
    <s v="Ankara"/>
    <s v="North Indian, Mughlai"/>
    <s v="Spring Rolls"/>
    <n v="2393"/>
    <n v="16.43"/>
    <n v="1.5"/>
    <n v="29.36"/>
    <n v="1"/>
    <n v="18"/>
    <n v="528.48"/>
    <n v="0.65"/>
    <n v="527.83000000000004"/>
  </r>
  <r>
    <s v="9FB57ECF"/>
    <m/>
    <m/>
    <s v="CUST7516"/>
    <s v="Sara Patel"/>
    <s v="Brazil"/>
    <s v="Ankara"/>
    <s v="North Indian, Mughlai"/>
    <s v="Tandoori Roti"/>
    <n v="3359"/>
    <n v="39.26"/>
    <n v="3.2"/>
    <n v="26.44"/>
    <n v="2"/>
    <n v="18"/>
    <n v="951.84"/>
    <n v="0.2"/>
    <n v="951.64"/>
  </r>
  <r>
    <s v="1CC7554A"/>
    <m/>
    <m/>
    <s v="CUST6900"/>
    <s v="Priya Taylor"/>
    <s v="Qatar"/>
    <s v="Ankara"/>
    <s v="North Indian, Mughlai"/>
    <s v="Grilled Sandwich"/>
    <n v="3482"/>
    <n v="15.53"/>
    <n v="1.1000000000000001"/>
    <n v="24.05"/>
    <n v="5"/>
    <n v="15"/>
    <n v="1803.75"/>
    <n v="8.98"/>
    <n v="1794.77"/>
  </r>
  <r>
    <s v="E6FDEB6F"/>
    <m/>
    <m/>
    <s v="CUST9556"/>
    <s v="Sophia Khan"/>
    <s v="New Zealand"/>
    <s v="Ankara"/>
    <s v="Cafe"/>
    <s v="Momos"/>
    <n v="1674"/>
    <n v="8.14"/>
    <n v="4.0999999999999996"/>
    <n v="21.51"/>
    <n v="3"/>
    <n v="6"/>
    <n v="387.18"/>
    <n v="8.36"/>
    <n v="378.82"/>
  </r>
  <r>
    <s v="885F751F"/>
    <m/>
    <m/>
    <s v="CUST2710"/>
    <s v="David Garcia"/>
    <s v="Philippines"/>
    <s v="Ankara"/>
    <s v="North Indian, Chinese"/>
    <s v="Cheeseburger"/>
    <n v="1594"/>
    <n v="48.24"/>
    <n v="3.4"/>
    <n v="14.1"/>
    <n v="3"/>
    <n v="3"/>
    <n v="126.89999999999999"/>
    <n v="9.42"/>
    <n v="117.48"/>
  </r>
  <r>
    <s v="3C3E805F"/>
    <m/>
    <m/>
    <s v="CUST2014"/>
    <s v="Sophia Patel"/>
    <s v="Australia"/>
    <s v="Ankara"/>
    <s v="North Indian, Mughlai"/>
    <s v="Pasta Alfredo"/>
    <n v="1893"/>
    <n v="48.36"/>
    <n v="1.5"/>
    <n v="8.19"/>
    <n v="3"/>
    <n v="4"/>
    <n v="98.28"/>
    <n v="3.79"/>
    <n v="94.49"/>
  </r>
  <r>
    <s v="60CC1567"/>
    <m/>
    <m/>
    <s v="CUST4906"/>
    <s v="Priya Das"/>
    <s v="Singapore"/>
    <s v="Ankara"/>
    <s v="North Indian, Mughlai"/>
    <s v="Masala Dosa"/>
    <n v="2841"/>
    <n v="43.91"/>
    <n v="3.7"/>
    <n v="20.190000000000001"/>
    <n v="2"/>
    <n v="5"/>
    <n v="201.9"/>
    <n v="2.65"/>
    <n v="199.25"/>
  </r>
  <r>
    <s v="472B6E2B"/>
    <m/>
    <m/>
    <s v="CUST2768"/>
    <s v="Sara Garcia"/>
    <s v="India"/>
    <s v="Ankara"/>
    <s v="North Indian"/>
    <s v="Tandoori Roti"/>
    <n v="4563"/>
    <n v="6.22"/>
    <n v="1.9"/>
    <n v="21.92"/>
    <n v="1"/>
    <n v="7"/>
    <n v="153.44"/>
    <n v="2.5"/>
    <n v="150.94"/>
  </r>
  <r>
    <s v="F295CE0A"/>
    <m/>
    <m/>
    <s v="CUST3511"/>
    <s v="Sara Patel"/>
    <s v="Australia"/>
    <s v="Ankara"/>
    <s v="North Indian, Chinese"/>
    <s v="Veg Biryani"/>
    <n v="2233"/>
    <n v="43.28"/>
    <n v="2.2000000000000002"/>
    <n v="14.59"/>
    <n v="5"/>
    <n v="1"/>
    <n v="72.95"/>
    <n v="6.03"/>
    <n v="66.92"/>
  </r>
  <r>
    <s v="C8E6E800"/>
    <m/>
    <m/>
    <s v="CUST6429"/>
    <s v="Anita Singh"/>
    <s v="Philippines"/>
    <s v="Ankara"/>
    <s v="North Indian, Chinese"/>
    <s v="Pasta Alfredo"/>
    <n v="3936"/>
    <n v="44.46"/>
    <n v="4.3"/>
    <n v="38.130000000000003"/>
    <n v="5"/>
    <n v="12"/>
    <n v="2287.8000000000002"/>
    <n v="7.28"/>
    <n v="2280.52"/>
  </r>
  <r>
    <s v="D1BA7772"/>
    <m/>
    <m/>
    <s v="CUST8779"/>
    <s v="Anita Lee"/>
    <s v="Philippines"/>
    <s v="Athens"/>
    <s v="North Indian, Mughlai"/>
    <s v="Butter Chicken"/>
    <n v="1375"/>
    <n v="21.83"/>
    <n v="2.2999999999999998"/>
    <n v="33.9"/>
    <n v="5"/>
    <n v="3"/>
    <n v="508.5"/>
    <n v="0.19"/>
    <n v="508.31"/>
  </r>
  <r>
    <s v="B2F8E293"/>
    <m/>
    <m/>
    <s v="CUST3580"/>
    <s v="Ravi Khan"/>
    <s v="India"/>
    <s v="Athens"/>
    <s v="North Indian, Mughlai"/>
    <s v="Cheeseburger"/>
    <n v="1485"/>
    <n v="12.66"/>
    <n v="3.8"/>
    <n v="13.07"/>
    <n v="4"/>
    <n v="19"/>
    <n v="993.32"/>
    <n v="9.08"/>
    <n v="984.24"/>
  </r>
  <r>
    <s v="98DB4AE5"/>
    <m/>
    <m/>
    <s v="CUST6712"/>
    <s v="Ravi Garcia"/>
    <s v="New Zealand"/>
    <s v="Athens"/>
    <s v="North Indian, Mughlai"/>
    <s v="Chicken Biryani"/>
    <n v="4686"/>
    <n v="20.49"/>
    <n v="4.9000000000000004"/>
    <n v="8"/>
    <n v="2"/>
    <n v="8"/>
    <n v="128"/>
    <n v="5.09"/>
    <n v="122.91"/>
  </r>
  <r>
    <s v="E213105A"/>
    <m/>
    <m/>
    <s v="CUST5633"/>
    <s v="Ahmed Brown"/>
    <s v="New Zealand"/>
    <s v="Athens"/>
    <s v="Cafe"/>
    <s v="Tandoori Roti"/>
    <n v="1517"/>
    <n v="15.75"/>
    <n v="4.9000000000000004"/>
    <n v="6.54"/>
    <n v="5"/>
    <n v="3"/>
    <n v="98.100000000000009"/>
    <n v="5.68"/>
    <n v="92.42"/>
  </r>
  <r>
    <s v="69B08FE7"/>
    <m/>
    <m/>
    <s v="CUST5351"/>
    <s v="David Sharma"/>
    <s v="Brazil"/>
    <s v="Athens"/>
    <s v="North Indian, Mughlai"/>
    <s v="Cheeseburger"/>
    <n v="897"/>
    <n v="44.78"/>
    <n v="2.1"/>
    <n v="5.0199999999999996"/>
    <n v="3"/>
    <n v="20"/>
    <n v="301.2"/>
    <n v="1.92"/>
    <n v="299.27999999999997"/>
  </r>
  <r>
    <s v="3F6A333A"/>
    <m/>
    <m/>
    <s v="CUST6625"/>
    <s v="Emily Smith"/>
    <s v="Canada"/>
    <s v="Athens"/>
    <s v="North Indian, Mughlai"/>
    <s v="Margherita Pizza"/>
    <n v="1749"/>
    <n v="10.99"/>
    <n v="4.9000000000000004"/>
    <n v="12.61"/>
    <n v="2"/>
    <n v="16"/>
    <n v="403.52"/>
    <n v="3.33"/>
    <n v="400.19"/>
  </r>
  <r>
    <s v="C608423C"/>
    <m/>
    <m/>
    <s v="CUST9961"/>
    <s v="Sara Smith"/>
    <s v="Indonesia"/>
    <s v="Auckland"/>
    <s v="Cafe"/>
    <s v="Spring Rolls"/>
    <n v="4810"/>
    <n v="9.3000000000000007"/>
    <n v="2.4"/>
    <n v="23.4"/>
    <n v="1"/>
    <n v="14"/>
    <n v="327.59999999999997"/>
    <n v="3.93"/>
    <n v="323.67"/>
  </r>
  <r>
    <s v="10C136D7"/>
    <m/>
    <m/>
    <s v="CUST1961"/>
    <s v="Anita Smith"/>
    <s v="Brazil"/>
    <s v="Auckland"/>
    <s v="North Indian"/>
    <s v="Tandoori Roti"/>
    <n v="4873"/>
    <n v="18.309999999999999"/>
    <n v="2.2000000000000002"/>
    <n v="38.630000000000003"/>
    <n v="4"/>
    <n v="7"/>
    <n v="1081.6400000000001"/>
    <n v="9.36"/>
    <n v="1072.28"/>
  </r>
  <r>
    <s v="DABBFB84"/>
    <m/>
    <m/>
    <s v="CUST8028"/>
    <s v="Priya Brown"/>
    <s v="India"/>
    <s v="Auckland"/>
    <s v="Chinese"/>
    <s v="Momos"/>
    <n v="4918"/>
    <n v="42.89"/>
    <n v="1.6"/>
    <n v="16.37"/>
    <n v="1"/>
    <n v="20"/>
    <n v="327.40000000000003"/>
    <n v="2.71"/>
    <n v="324.69"/>
  </r>
  <r>
    <s v="B4BB24F8"/>
    <m/>
    <m/>
    <s v="CUST1284"/>
    <s v="Sara Khan"/>
    <s v="Qatar"/>
    <s v="Auckland"/>
    <s v="Chinese"/>
    <s v="Veg Biryani"/>
    <n v="3226"/>
    <n v="17.27"/>
    <n v="4.9000000000000004"/>
    <n v="30.58"/>
    <n v="4"/>
    <n v="18"/>
    <n v="2201.7599999999998"/>
    <n v="9.2899999999999991"/>
    <n v="2192.4699999999998"/>
  </r>
  <r>
    <s v="6847ACCC"/>
    <m/>
    <m/>
    <s v="CUST5334"/>
    <s v="Ahmed Singh"/>
    <s v="South Africa"/>
    <s v="Auckland"/>
    <s v="Cafe"/>
    <s v="Grilled Sandwich"/>
    <n v="2029"/>
    <n v="19.440000000000001"/>
    <n v="4.5999999999999996"/>
    <n v="33.19"/>
    <n v="2"/>
    <n v="2"/>
    <n v="132.76"/>
    <n v="8.8699999999999992"/>
    <n v="123.89"/>
  </r>
  <r>
    <s v="E47EBA56"/>
    <m/>
    <m/>
    <s v="CUST8576"/>
    <s v="Ravi Sharma"/>
    <s v="Singapore"/>
    <s v="Auckland"/>
    <s v="North Indian, Chinese"/>
    <s v="Grilled Sandwich"/>
    <n v="2087"/>
    <n v="35.21"/>
    <n v="4.2"/>
    <n v="19.12"/>
    <n v="3"/>
    <n v="16"/>
    <n v="917.76"/>
    <n v="1.0900000000000001"/>
    <n v="916.67"/>
  </r>
  <r>
    <s v="237B558D"/>
    <m/>
    <m/>
    <s v="CUST3556"/>
    <s v="John Khan"/>
    <s v="Indonesia"/>
    <s v="Auckland"/>
    <s v="North Indian, Mughlai"/>
    <s v="Margherita Pizza"/>
    <n v="4682"/>
    <n v="37.42"/>
    <n v="4.2"/>
    <n v="9.7899999999999991"/>
    <n v="2"/>
    <n v="10"/>
    <n v="195.79999999999998"/>
    <n v="2.08"/>
    <n v="193.72"/>
  </r>
  <r>
    <s v="FA9FF891"/>
    <m/>
    <m/>
    <s v="CUST1980"/>
    <s v="Emily Khan"/>
    <s v="Brazil"/>
    <s v="Auckland"/>
    <s v="Chinese"/>
    <s v="Momos"/>
    <n v="1882"/>
    <n v="16.62"/>
    <n v="3.1"/>
    <n v="39.83"/>
    <n v="2"/>
    <n v="8"/>
    <n v="637.28"/>
    <n v="2.16"/>
    <n v="635.12"/>
  </r>
  <r>
    <s v="974A7968"/>
    <m/>
    <m/>
    <s v="CUST4842"/>
    <s v="Sara Lee"/>
    <s v="Singapore"/>
    <s v="Auckland"/>
    <s v="North Indian"/>
    <s v="Cheeseburger"/>
    <n v="1996"/>
    <n v="25.96"/>
    <n v="2.2000000000000002"/>
    <n v="32.19"/>
    <n v="4"/>
    <n v="14"/>
    <n v="1802.6399999999999"/>
    <n v="4.76"/>
    <n v="1797.88"/>
  </r>
  <r>
    <s v="EF7CA707"/>
    <m/>
    <m/>
    <s v="CUST4460"/>
    <s v="David Patel"/>
    <s v="Indonesia"/>
    <s v="Auckland"/>
    <s v="Cafe"/>
    <s v="Pasta Alfredo"/>
    <n v="948"/>
    <n v="43.88"/>
    <n v="5"/>
    <n v="35.06"/>
    <n v="5"/>
    <n v="4"/>
    <n v="701.2"/>
    <n v="5.94"/>
    <n v="695.26"/>
  </r>
  <r>
    <s v="4F27084A"/>
    <m/>
    <m/>
    <s v="CUST8519"/>
    <s v="Emily Khan"/>
    <s v="India"/>
    <s v="Auckland"/>
    <s v="North Indian"/>
    <s v="Butter Chicken"/>
    <n v="648"/>
    <n v="42.85"/>
    <n v="4"/>
    <n v="11.24"/>
    <n v="4"/>
    <n v="8"/>
    <n v="359.68"/>
    <n v="9"/>
    <n v="350.68"/>
  </r>
  <r>
    <s v="955E6DD6"/>
    <m/>
    <m/>
    <s v="CUST8087"/>
    <s v="Ravi Garcia"/>
    <s v="Canada"/>
    <s v="Auckland"/>
    <s v="Chinese"/>
    <s v="Grilled Sandwich"/>
    <n v="1288"/>
    <n v="33.340000000000003"/>
    <n v="3.2"/>
    <n v="14.14"/>
    <n v="5"/>
    <n v="19"/>
    <n v="1343.3"/>
    <n v="4.8099999999999996"/>
    <n v="1338.49"/>
  </r>
  <r>
    <s v="8D553104"/>
    <m/>
    <m/>
    <s v="CUST4642"/>
    <s v="Sophia Sharma"/>
    <s v="Brazil"/>
    <s v="Auckland"/>
    <s v="North Indian"/>
    <s v="Veg Biryani"/>
    <n v="638"/>
    <n v="44.96"/>
    <n v="1.7"/>
    <n v="7.4"/>
    <n v="3"/>
    <n v="7"/>
    <n v="155.40000000000003"/>
    <n v="8.23"/>
    <n v="147.16999999999999"/>
  </r>
  <r>
    <s v="ACD3DA4C"/>
    <m/>
    <m/>
    <s v="CUST1880"/>
    <s v="Ravi Patel"/>
    <s v="Philippines"/>
    <s v="Auckland"/>
    <s v="North Indian"/>
    <s v="Cheeseburger"/>
    <n v="4698"/>
    <n v="20.52"/>
    <n v="2.9"/>
    <n v="22.07"/>
    <n v="5"/>
    <n v="16"/>
    <n v="1765.6"/>
    <n v="8.64"/>
    <n v="1756.96"/>
  </r>
  <r>
    <s v="B7EEB421"/>
    <m/>
    <m/>
    <s v="CUST3058"/>
    <s v="Priya Garcia"/>
    <s v="Indonesia"/>
    <s v="Auckland"/>
    <s v="Cafe"/>
    <s v="Pasta Alfredo"/>
    <n v="507"/>
    <n v="13.85"/>
    <n v="1.4"/>
    <n v="32.119999999999997"/>
    <n v="2"/>
    <n v="9"/>
    <n v="578.16"/>
    <n v="2.9"/>
    <n v="575.26"/>
  </r>
  <r>
    <s v="74617F46"/>
    <m/>
    <m/>
    <s v="CUST8994"/>
    <s v="Emily Lee"/>
    <s v="Australia"/>
    <s v="Auckland"/>
    <s v="Cafe"/>
    <s v="Momos"/>
    <n v="3038"/>
    <n v="9.1199999999999992"/>
    <n v="2.4"/>
    <n v="13.68"/>
    <n v="4"/>
    <n v="9"/>
    <n v="492.48"/>
    <n v="2.2999999999999998"/>
    <n v="490.18"/>
  </r>
  <r>
    <s v="09073A38"/>
    <m/>
    <m/>
    <s v="CUST7370"/>
    <s v="Priya Garcia"/>
    <s v="Qatar"/>
    <s v="Abu Dhabi"/>
    <s v="Chinese"/>
    <s v="Margherita Pizza"/>
    <n v="2020"/>
    <n v="30.85"/>
    <n v="5"/>
    <n v="15.16"/>
    <n v="4"/>
    <n v="15"/>
    <n v="909.6"/>
    <n v="6.49"/>
    <n v="903.11"/>
  </r>
  <r>
    <s v="E8DF7F19"/>
    <m/>
    <m/>
    <s v="CUST6049"/>
    <s v="Ahmed Singh"/>
    <s v="Canada"/>
    <s v="Abu Dhabi"/>
    <s v="North Indian"/>
    <s v="Chicken Biryani"/>
    <n v="201"/>
    <n v="31.71"/>
    <n v="4.5999999999999996"/>
    <n v="18.690000000000001"/>
    <n v="5"/>
    <n v="19"/>
    <n v="1775.55"/>
    <n v="4.1500000000000004"/>
    <n v="1771.4"/>
  </r>
  <r>
    <s v="49213156"/>
    <m/>
    <m/>
    <s v="CUST3576"/>
    <s v="John Das"/>
    <s v="Canada"/>
    <s v="Abu Dhabi"/>
    <s v="North Indian, Chinese"/>
    <s v="Shawarma"/>
    <n v="4492"/>
    <n v="47.27"/>
    <n v="1.2"/>
    <n v="24.59"/>
    <n v="1"/>
    <n v="15"/>
    <n v="368.85"/>
    <n v="4.12"/>
    <n v="364.73"/>
  </r>
  <r>
    <s v="7EC237B7"/>
    <m/>
    <m/>
    <s v="CUST5671"/>
    <s v="Ravi Das"/>
    <s v="India"/>
    <s v="Abu Dhabi"/>
    <s v="Chinese"/>
    <s v="Grilled Sandwich"/>
    <n v="4273"/>
    <n v="45.21"/>
    <n v="2"/>
    <n v="22.41"/>
    <n v="1"/>
    <n v="6"/>
    <n v="134.46"/>
    <n v="8.81"/>
    <n v="125.65"/>
  </r>
  <r>
    <s v="33183A9B"/>
    <m/>
    <m/>
    <s v="CUST6708"/>
    <s v="Sara Brown"/>
    <s v="Philippines"/>
    <s v="Abu Dhabi"/>
    <s v="Cafe"/>
    <s v="Margherita Pizza"/>
    <n v="2561"/>
    <n v="12.45"/>
    <n v="4.5999999999999996"/>
    <n v="28.75"/>
    <n v="5"/>
    <n v="11"/>
    <n v="1581.25"/>
    <n v="7.96"/>
    <n v="1573.29"/>
  </r>
  <r>
    <s v="87F343D7"/>
    <m/>
    <m/>
    <s v="CUST2729"/>
    <s v="Ravi Khan"/>
    <s v="Singapore"/>
    <s v="Abu Dhabi"/>
    <s v="North Indian, Chinese"/>
    <s v="Sushi Platter"/>
    <n v="2852"/>
    <n v="29.77"/>
    <n v="3.4"/>
    <n v="31.14"/>
    <n v="2"/>
    <n v="2"/>
    <n v="124.56"/>
    <n v="2.75"/>
    <n v="121.81"/>
  </r>
  <r>
    <s v="6F1FF3AD"/>
    <m/>
    <m/>
    <s v="CUST9318"/>
    <s v="Emily Smith"/>
    <s v="Philippines"/>
    <s v="Abu Dhabi"/>
    <s v="Chinese"/>
    <s v="Chicken Biryani"/>
    <n v="1835"/>
    <n v="17.420000000000002"/>
    <n v="2.5"/>
    <n v="34.619999999999997"/>
    <n v="4"/>
    <n v="15"/>
    <n v="2077.1999999999998"/>
    <n v="0.88"/>
    <n v="2076.3200000000002"/>
  </r>
  <r>
    <s v="0392B195"/>
    <m/>
    <m/>
    <s v="CUST3628"/>
    <s v="Emily Das"/>
    <s v="Qatar"/>
    <s v="Abu Dhabi"/>
    <s v="North Indian, Chinese"/>
    <s v="Paneer Tikka"/>
    <n v="1226"/>
    <n v="49.4"/>
    <n v="1.6"/>
    <n v="8.14"/>
    <n v="3"/>
    <n v="6"/>
    <n v="146.52000000000001"/>
    <n v="2.79"/>
    <n v="143.72999999999999"/>
  </r>
  <r>
    <s v="A8405206"/>
    <m/>
    <m/>
    <s v="CUST9140"/>
    <s v="Anita Khan"/>
    <s v="Philippines"/>
    <s v="Abu Dhabi"/>
    <s v="North Indian, Mughlai"/>
    <s v="Spring Rolls"/>
    <n v="2019"/>
    <n v="31.76"/>
    <n v="4.5999999999999996"/>
    <n v="22.22"/>
    <n v="5"/>
    <n v="15"/>
    <n v="1666.5"/>
    <n v="0.12"/>
    <n v="1666.38"/>
  </r>
  <r>
    <s v="C7D9D452"/>
    <m/>
    <m/>
    <s v="CUST6182"/>
    <s v="Ahmed Singh"/>
    <s v="Brazil"/>
    <s v="Abu Dhabi"/>
    <s v="North Indian, Chinese"/>
    <s v="Cheeseburger"/>
    <n v="3116"/>
    <n v="7.22"/>
    <n v="3.3"/>
    <n v="28.8"/>
    <n v="1"/>
    <n v="17"/>
    <n v="489.6"/>
    <n v="2.72"/>
    <n v="486.88"/>
  </r>
  <r>
    <s v="F3FDC806"/>
    <m/>
    <m/>
    <s v="CUST8899"/>
    <s v="Sophia Garcia"/>
    <s v="Philippines"/>
    <s v="Abu Dhabi"/>
    <s v="Chinese"/>
    <s v="Butter Chicken"/>
    <n v="1906"/>
    <n v="27.45"/>
    <n v="1"/>
    <n v="12.94"/>
    <n v="1"/>
    <n v="7"/>
    <n v="90.58"/>
    <n v="2.37"/>
    <n v="88.21"/>
  </r>
  <r>
    <s v="01D7EEE0"/>
    <m/>
    <m/>
    <s v="CUST5178"/>
    <s v="John Brown"/>
    <s v="Philippines"/>
    <s v="Agra"/>
    <s v="Chinese"/>
    <s v="Tandoori Roti"/>
    <n v="3778"/>
    <n v="15.16"/>
    <n v="3.6"/>
    <n v="39.340000000000003"/>
    <n v="5"/>
    <n v="6"/>
    <n v="1180.2"/>
    <n v="5.92"/>
    <n v="1174.28"/>
  </r>
  <r>
    <s v="33BEE376"/>
    <m/>
    <m/>
    <s v="CUST3318"/>
    <s v="Anita Lee"/>
    <s v="Australia"/>
    <s v="Agra"/>
    <s v="Chinese"/>
    <s v="Masala Dosa"/>
    <n v="790"/>
    <n v="22.35"/>
    <n v="4"/>
    <n v="10.86"/>
    <n v="5"/>
    <n v="20"/>
    <n v="1086"/>
    <n v="6.01"/>
    <n v="1079.99"/>
  </r>
  <r>
    <s v="0C21388B"/>
    <m/>
    <m/>
    <s v="CUST4939"/>
    <s v="Kumar Taylor"/>
    <s v="New Zealand"/>
    <s v="Agra"/>
    <s v="Cafe"/>
    <s v="Butter Chicken"/>
    <n v="2815"/>
    <n v="13.28"/>
    <n v="4.0999999999999996"/>
    <n v="21.26"/>
    <n v="4"/>
    <n v="5"/>
    <n v="425.20000000000005"/>
    <n v="5.37"/>
    <n v="419.83"/>
  </r>
  <r>
    <s v="B936C37C"/>
    <m/>
    <m/>
    <s v="CUST9106"/>
    <s v="Anita Patel"/>
    <s v="South Africa"/>
    <s v="Agra"/>
    <s v="North Indian"/>
    <s v="Grilled Sandwich"/>
    <n v="996"/>
    <n v="38.49"/>
    <n v="3"/>
    <n v="34.35"/>
    <n v="2"/>
    <n v="12"/>
    <n v="824.40000000000009"/>
    <n v="9.75"/>
    <n v="814.65"/>
  </r>
  <r>
    <s v="74834014"/>
    <m/>
    <m/>
    <s v="CUST5081"/>
    <s v="Anita Sharma"/>
    <s v="Indonesia"/>
    <s v="Agra"/>
    <s v="North Indian, Chinese"/>
    <s v="Spring Rolls"/>
    <n v="3502"/>
    <n v="37.840000000000003"/>
    <n v="2.2999999999999998"/>
    <n v="39.21"/>
    <n v="3"/>
    <n v="10"/>
    <n v="1176.3"/>
    <n v="0.21"/>
    <n v="1176.0899999999999"/>
  </r>
  <r>
    <s v="41F40075"/>
    <m/>
    <m/>
    <s v="CUST7360"/>
    <s v="Priya Smith"/>
    <s v="Qatar"/>
    <s v="Agra"/>
    <s v="North Indian, Chinese"/>
    <s v="Spring Rolls"/>
    <n v="433"/>
    <n v="12.5"/>
    <n v="2.7"/>
    <n v="26.74"/>
    <n v="1"/>
    <n v="18"/>
    <n v="481.32"/>
    <n v="7.26"/>
    <n v="474.06"/>
  </r>
  <r>
    <s v="3881128E"/>
    <m/>
    <m/>
    <s v="CUST3609"/>
    <s v="Kumar Lee"/>
    <s v="Canada"/>
    <s v="Agra"/>
    <s v="Chinese"/>
    <s v="Veg Biryani"/>
    <n v="1318"/>
    <n v="20.86"/>
    <n v="2.1"/>
    <n v="24.95"/>
    <n v="1"/>
    <n v="2"/>
    <n v="49.9"/>
    <n v="3.5"/>
    <n v="46.4"/>
  </r>
  <r>
    <s v="91958311"/>
    <m/>
    <m/>
    <s v="CUST1457"/>
    <s v="Emily Brown"/>
    <s v="India"/>
    <s v="Agra"/>
    <s v="Cafe"/>
    <s v="Pasta Alfredo"/>
    <n v="2364"/>
    <n v="20.32"/>
    <n v="2.1"/>
    <n v="8.9499999999999993"/>
    <n v="3"/>
    <n v="16"/>
    <n v="429.59999999999997"/>
    <n v="7.44"/>
    <n v="422.16"/>
  </r>
  <r>
    <s v="D15FCE9E"/>
    <m/>
    <m/>
    <s v="CUST2195"/>
    <s v="Anita Brown"/>
    <s v="Singapore"/>
    <s v="Ahmedabad"/>
    <s v="Cafe"/>
    <s v="Fried Rice"/>
    <n v="452"/>
    <n v="31.49"/>
    <n v="1.7"/>
    <n v="36.76"/>
    <n v="5"/>
    <n v="13"/>
    <n v="2389.3999999999996"/>
    <n v="9.69"/>
    <n v="2379.71"/>
  </r>
  <r>
    <s v="72EC7FFC"/>
    <m/>
    <m/>
    <s v="CUST1605"/>
    <s v="Sara Brown"/>
    <s v="Canada"/>
    <s v="Ahmedabad"/>
    <s v="Cafe"/>
    <s v="Pasta Alfredo"/>
    <n v="4757"/>
    <n v="43.04"/>
    <n v="1.4"/>
    <n v="35.33"/>
    <n v="2"/>
    <n v="12"/>
    <n v="847.92"/>
    <n v="6.94"/>
    <n v="840.98"/>
  </r>
  <r>
    <s v="D0BD3E38"/>
    <m/>
    <m/>
    <s v="CUST6849"/>
    <s v="John Khan"/>
    <s v="Brazil"/>
    <s v="Ahmedabad"/>
    <s v="North Indian, Chinese"/>
    <s v="Tandoori Roti"/>
    <n v="2493"/>
    <n v="34.64"/>
    <n v="4.7"/>
    <n v="5.58"/>
    <n v="4"/>
    <n v="12"/>
    <n v="267.84000000000003"/>
    <n v="3.77"/>
    <n v="264.07"/>
  </r>
  <r>
    <s v="A4ADEDBF"/>
    <m/>
    <m/>
    <s v="CUST3371"/>
    <s v="Emily Sharma"/>
    <s v="Indonesia"/>
    <s v="Ahmedabad"/>
    <s v="Cafe"/>
    <s v="Spring Rolls"/>
    <n v="4648"/>
    <n v="29.54"/>
    <n v="3.3"/>
    <n v="32.61"/>
    <n v="4"/>
    <n v="9"/>
    <n v="1173.96"/>
    <n v="8.25"/>
    <n v="1165.71"/>
  </r>
  <r>
    <s v="AAA65AD3"/>
    <m/>
    <m/>
    <s v="CUST7439"/>
    <s v="Sara Das"/>
    <s v="India"/>
    <s v="Ahmedabad"/>
    <s v="North Indian, Chinese"/>
    <s v="Margherita Pizza"/>
    <n v="2267"/>
    <n v="14.22"/>
    <n v="1.6"/>
    <n v="30.38"/>
    <n v="3"/>
    <n v="4"/>
    <n v="364.56"/>
    <n v="2.84"/>
    <n v="361.72"/>
  </r>
  <r>
    <s v="AD3D7D39"/>
    <m/>
    <m/>
    <s v="CUST3216"/>
    <s v="Priya Khan"/>
    <s v="Indonesia"/>
    <s v="Ahmedabad"/>
    <s v="Cafe"/>
    <s v="Paneer Tikka"/>
    <n v="1827"/>
    <n v="7.96"/>
    <n v="2.2000000000000002"/>
    <n v="10.62"/>
    <n v="5"/>
    <n v="11"/>
    <n v="584.09999999999991"/>
    <n v="9.3800000000000008"/>
    <n v="574.72"/>
  </r>
  <r>
    <s v="FBBBAAAB"/>
    <m/>
    <m/>
    <s v="CUST6248"/>
    <s v="Anita Brown"/>
    <s v="India"/>
    <s v="Ahmedabad"/>
    <s v="Cafe"/>
    <s v="Pasta Alfredo"/>
    <n v="4524"/>
    <n v="6.36"/>
    <n v="3.3"/>
    <n v="16.5"/>
    <n v="5"/>
    <n v="16"/>
    <n v="1320"/>
    <n v="1.1499999999999999"/>
    <n v="1318.85"/>
  </r>
  <r>
    <s v="64554A40"/>
    <m/>
    <m/>
    <s v="CUST2142"/>
    <s v="Emily Khan"/>
    <s v="Australia"/>
    <s v="Ahmedabad"/>
    <s v="Cafe"/>
    <s v="Pasta Alfredo"/>
    <n v="2901"/>
    <n v="33.86"/>
    <n v="1"/>
    <n v="14.44"/>
    <n v="2"/>
    <n v="12"/>
    <n v="346.56"/>
    <n v="7.58"/>
    <n v="338.98"/>
  </r>
  <r>
    <s v="BF9D859C"/>
    <m/>
    <m/>
    <s v="CUST1085"/>
    <s v="David Singh"/>
    <s v="Qatar"/>
    <s v="Ahmedabad"/>
    <s v="North Indian, Chinese"/>
    <s v="Paneer Tikka"/>
    <n v="4580"/>
    <n v="6.33"/>
    <n v="4"/>
    <n v="37.96"/>
    <n v="3"/>
    <n v="20"/>
    <n v="2277.6"/>
    <n v="5.79"/>
    <n v="2271.81"/>
  </r>
  <r>
    <s v="35AD8279"/>
    <m/>
    <m/>
    <s v="CUST3215"/>
    <s v="Ahmed Singh"/>
    <s v="South Africa"/>
    <s v="Ahmedabad"/>
    <s v="North Indian"/>
    <s v="Veg Biryani"/>
    <n v="3689"/>
    <n v="8.18"/>
    <n v="2.4"/>
    <n v="16.690000000000001"/>
    <n v="2"/>
    <n v="13"/>
    <n v="433.94000000000005"/>
    <n v="6.69"/>
    <n v="427.25"/>
  </r>
  <r>
    <s v="053E9956"/>
    <m/>
    <m/>
    <s v="CUST3965"/>
    <s v="Ahmed Patel"/>
    <s v="Canada"/>
    <s v="Ahmedabad"/>
    <s v="Cafe"/>
    <s v="Tandoori Roti"/>
    <n v="3182"/>
    <n v="15.32"/>
    <n v="4.5"/>
    <n v="23.71"/>
    <n v="4"/>
    <n v="10"/>
    <n v="948.40000000000009"/>
    <n v="1.02"/>
    <n v="947.38"/>
  </r>
  <r>
    <s v="29FA88C3"/>
    <m/>
    <m/>
    <s v="CUST4628"/>
    <s v="Sara Sharma"/>
    <s v="Australia"/>
    <s v="Ahmedabad"/>
    <s v="Cafe"/>
    <s v="Chicken Biryani"/>
    <n v="844"/>
    <n v="9.9600000000000009"/>
    <n v="4.8"/>
    <n v="14.67"/>
    <n v="3"/>
    <n v="2"/>
    <n v="88.02"/>
    <n v="0.64"/>
    <n v="87.38"/>
  </r>
  <r>
    <s v="C50BF002"/>
    <m/>
    <m/>
    <s v="CUST4057"/>
    <s v="Sara Sharma"/>
    <s v="New Zealand"/>
    <s v="Albany"/>
    <s v="Cafe"/>
    <s v="Chicken Biryani"/>
    <n v="3774"/>
    <n v="25.23"/>
    <n v="1.5"/>
    <n v="26.01"/>
    <n v="4"/>
    <n v="11"/>
    <n v="1144.44"/>
    <n v="0.33"/>
    <n v="1144.1099999999999"/>
  </r>
  <r>
    <s v="EEC1EF24"/>
    <m/>
    <m/>
    <s v="CUST2177"/>
    <s v="Kumar Smith"/>
    <s v="Canada"/>
    <s v="Albany"/>
    <s v="North Indian"/>
    <s v="Cheeseburger"/>
    <n v="630"/>
    <n v="27.79"/>
    <n v="3.7"/>
    <n v="12.08"/>
    <n v="5"/>
    <n v="9"/>
    <n v="543.6"/>
    <n v="4.8499999999999996"/>
    <n v="538.75"/>
  </r>
  <r>
    <s v="9BE459D2"/>
    <m/>
    <m/>
    <s v="CUST9252"/>
    <s v="Priya Patel"/>
    <s v="India"/>
    <s v="Albany"/>
    <s v="North Indian, Chinese"/>
    <s v="Masala Dosa"/>
    <n v="971"/>
    <n v="34.450000000000003"/>
    <n v="4.2"/>
    <n v="34.9"/>
    <n v="1"/>
    <n v="3"/>
    <n v="104.69999999999999"/>
    <n v="6.2"/>
    <n v="98.5"/>
  </r>
  <r>
    <s v="9D2B8F13"/>
    <m/>
    <m/>
    <s v="CUST3059"/>
    <s v="Sophia Garcia"/>
    <s v="Singapore"/>
    <s v="Albany"/>
    <s v="North Indian, Mughlai"/>
    <s v="Shawarma"/>
    <n v="525"/>
    <n v="37.53"/>
    <n v="2.2000000000000002"/>
    <n v="20.03"/>
    <n v="3"/>
    <n v="17"/>
    <n v="1021.5300000000001"/>
    <n v="6.44"/>
    <n v="1015.09"/>
  </r>
  <r>
    <s v="0C031661"/>
    <m/>
    <m/>
    <s v="CUST6875"/>
    <s v="Anita Sharma"/>
    <s v="Brazil"/>
    <s v="Albany"/>
    <s v="North Indian, Chinese"/>
    <s v="Masala Dosa"/>
    <n v="263"/>
    <n v="36.76"/>
    <n v="4.2"/>
    <n v="11.58"/>
    <n v="1"/>
    <n v="1"/>
    <n v="11.58"/>
    <n v="3.13"/>
    <n v="8.4499999999999993"/>
  </r>
  <r>
    <s v="A7B1F8AB"/>
    <m/>
    <m/>
    <s v="CUST9081"/>
    <s v="Sara Patel"/>
    <s v="Canada"/>
    <s v="Albany"/>
    <s v="Chinese"/>
    <s v="Tandoori Roti"/>
    <n v="453"/>
    <n v="41.85"/>
    <n v="3.6"/>
    <n v="6.67"/>
    <n v="4"/>
    <n v="6"/>
    <n v="160.07999999999998"/>
    <n v="8.39"/>
    <n v="151.69"/>
  </r>
  <r>
    <s v="3F4A78CC"/>
    <m/>
    <m/>
    <s v="CUST7478"/>
    <s v="Ahmed Patel"/>
    <s v="Indonesia"/>
    <s v="Albany"/>
    <s v="North Indian"/>
    <s v="Fried Rice"/>
    <n v="185"/>
    <n v="27.8"/>
    <n v="3.6"/>
    <n v="34.01"/>
    <n v="5"/>
    <n v="8"/>
    <n v="1360.3999999999999"/>
    <n v="1.17"/>
    <n v="1359.23"/>
  </r>
  <r>
    <s v="1B8B8F67"/>
    <m/>
    <m/>
    <s v="CUST3402"/>
    <s v="John Taylor"/>
    <s v="South Africa"/>
    <s v="Albany"/>
    <s v="Cafe"/>
    <s v="Veg Biryani"/>
    <n v="2347"/>
    <n v="38.590000000000003"/>
    <n v="4.2"/>
    <n v="22.93"/>
    <n v="5"/>
    <n v="6"/>
    <n v="687.90000000000009"/>
    <n v="2.54"/>
    <n v="685.36"/>
  </r>
  <r>
    <s v="8340238B"/>
    <m/>
    <m/>
    <s v="CUST5755"/>
    <s v="Emily Singh"/>
    <s v="New Zealand"/>
    <s v="Albany"/>
    <s v="North Indian"/>
    <s v="Pasta Alfredo"/>
    <n v="2700"/>
    <n v="18.27"/>
    <n v="3.6"/>
    <n v="12.45"/>
    <n v="5"/>
    <n v="7"/>
    <n v="435.75"/>
    <n v="0.05"/>
    <n v="435.7"/>
  </r>
  <r>
    <s v="E730C9CB"/>
    <m/>
    <m/>
    <s v="CUST2408"/>
    <s v="Sara Sharma"/>
    <s v="Australia"/>
    <s v="Albany"/>
    <s v="North Indian"/>
    <s v="Fried Rice"/>
    <n v="1250"/>
    <n v="9.83"/>
    <n v="4.5"/>
    <n v="27.03"/>
    <n v="1"/>
    <n v="4"/>
    <n v="108.12"/>
    <n v="8.59"/>
    <n v="99.53"/>
  </r>
  <r>
    <s v="1153DBB6"/>
    <m/>
    <m/>
    <s v="CUST9956"/>
    <s v="Ravi Smith"/>
    <s v="India"/>
    <s v="Albany"/>
    <s v="North Indian, Mughlai"/>
    <s v="Spring Rolls"/>
    <n v="3360"/>
    <n v="18.309999999999999"/>
    <n v="4.0999999999999996"/>
    <n v="20.32"/>
    <n v="5"/>
    <n v="12"/>
    <n v="1219.1999999999998"/>
    <n v="5.0999999999999996"/>
    <n v="1214.0999999999999"/>
  </r>
  <r>
    <s v="7CFCF9F9"/>
    <m/>
    <m/>
    <s v="CUST2555"/>
    <s v="Priya Lee"/>
    <s v="Australia"/>
    <s v="Albany"/>
    <s v="North Indian, Mughlai"/>
    <s v="Chicken Biryani"/>
    <n v="3248"/>
    <n v="18.79"/>
    <n v="1.5"/>
    <n v="16.809999999999999"/>
    <n v="5"/>
    <n v="20"/>
    <n v="1681"/>
    <n v="1.82"/>
    <n v="1679.18"/>
  </r>
  <r>
    <s v="4B30A077"/>
    <m/>
    <m/>
    <s v="CUST3931"/>
    <s v="Ahmed Patel"/>
    <s v="New Zealand"/>
    <s v="Albany"/>
    <s v="North Indian"/>
    <s v="Tandoori Roti"/>
    <n v="4055"/>
    <n v="41.71"/>
    <n v="3"/>
    <n v="18.91"/>
    <n v="1"/>
    <n v="2"/>
    <n v="37.82"/>
    <n v="3.2"/>
    <n v="34.619999999999997"/>
  </r>
  <r>
    <s v="EA9D8276"/>
    <m/>
    <m/>
    <s v="CUST1943"/>
    <s v="John Khan"/>
    <s v="Brazil"/>
    <s v="Albany"/>
    <s v="Cafe"/>
    <s v="Paneer Tikka"/>
    <n v="3759"/>
    <n v="37.729999999999997"/>
    <n v="4.2"/>
    <n v="12.72"/>
    <n v="4"/>
    <n v="14"/>
    <n v="712.32"/>
    <n v="0.39"/>
    <n v="711.93"/>
  </r>
  <r>
    <s v="70BCA647"/>
    <m/>
    <m/>
    <s v="CUST2249"/>
    <s v="Ahmed Smith"/>
    <s v="Qatar"/>
    <s v="Albany"/>
    <s v="North Indian"/>
    <s v="Fried Rice"/>
    <n v="3217"/>
    <n v="44.54"/>
    <n v="3"/>
    <n v="35.74"/>
    <n v="2"/>
    <n v="15"/>
    <n v="1072.2"/>
    <n v="2.15"/>
    <n v="1070.05"/>
  </r>
  <r>
    <s v="7CBE55C0"/>
    <m/>
    <m/>
    <s v="CUST4060"/>
    <s v="John Sharma"/>
    <s v="New Zealand"/>
    <s v="Albany"/>
    <s v="North Indian"/>
    <s v="Pasta Alfredo"/>
    <n v="3160"/>
    <n v="26.39"/>
    <n v="3.4"/>
    <n v="5.46"/>
    <n v="4"/>
    <n v="14"/>
    <n v="305.76"/>
    <n v="8.7799999999999994"/>
    <n v="296.98"/>
  </r>
  <r>
    <s v="E8129395"/>
    <m/>
    <m/>
    <s v="CUST2502"/>
    <s v="David Sharma"/>
    <s v="Brazil"/>
    <s v="Allahabad"/>
    <s v="North Indian, Chinese"/>
    <s v="Momos"/>
    <n v="3880"/>
    <n v="24.73"/>
    <n v="3.6"/>
    <n v="12.81"/>
    <n v="4"/>
    <n v="10"/>
    <n v="512.4"/>
    <n v="5.79"/>
    <n v="506.61"/>
  </r>
  <r>
    <s v="B1D57C08"/>
    <m/>
    <m/>
    <s v="CUST1513"/>
    <s v="Ahmed Smith"/>
    <s v="Australia"/>
    <s v="Allahabad"/>
    <s v="North Indian, Mughlai"/>
    <s v="Pasta Alfredo"/>
    <n v="3700"/>
    <n v="8.84"/>
    <n v="2.1"/>
    <n v="12.72"/>
    <n v="4"/>
    <n v="15"/>
    <n v="763.2"/>
    <n v="3.73"/>
    <n v="759.47"/>
  </r>
  <r>
    <s v="F9C0FB1C"/>
    <m/>
    <m/>
    <s v="CUST5848"/>
    <s v="Ravi Brown"/>
    <s v="New Zealand"/>
    <s v="Allahabad"/>
    <s v="Cafe"/>
    <s v="Chicken Biryani"/>
    <n v="1666"/>
    <n v="18.41"/>
    <n v="4.5999999999999996"/>
    <n v="31.22"/>
    <n v="2"/>
    <n v="7"/>
    <n v="437.08"/>
    <n v="4.09"/>
    <n v="432.99"/>
  </r>
  <r>
    <s v="F7714257"/>
    <m/>
    <m/>
    <s v="CUST5236"/>
    <s v="Ahmed Sharma"/>
    <s v="Qatar"/>
    <s v="Allahabad"/>
    <s v="North Indian, Chinese"/>
    <s v="Cheeseburger"/>
    <n v="4727"/>
    <n v="19.850000000000001"/>
    <n v="2.5"/>
    <n v="28.05"/>
    <n v="2"/>
    <n v="5"/>
    <n v="280.5"/>
    <n v="5.66"/>
    <n v="274.83999999999997"/>
  </r>
  <r>
    <s v="18A23A8C"/>
    <m/>
    <m/>
    <s v="CUST3847"/>
    <s v="Sara Garcia"/>
    <s v="Qatar"/>
    <s v="Allahabad"/>
    <s v="North Indian"/>
    <s v="Butter Chicken"/>
    <n v="1820"/>
    <n v="32.76"/>
    <n v="2.1"/>
    <n v="12.9"/>
    <n v="4"/>
    <n v="19"/>
    <n v="980.4"/>
    <n v="5.9"/>
    <n v="974.5"/>
  </r>
  <r>
    <s v="D6A996B2"/>
    <m/>
    <m/>
    <s v="CUST2613"/>
    <s v="Sophia Patel"/>
    <s v="Philippines"/>
    <s v="Allahabad"/>
    <s v="Chinese"/>
    <s v="Cheeseburger"/>
    <n v="4297"/>
    <n v="49.84"/>
    <n v="1.2"/>
    <n v="9.75"/>
    <n v="4"/>
    <n v="3"/>
    <n v="117"/>
    <n v="1.53"/>
    <n v="115.47"/>
  </r>
  <r>
    <s v="CAFB7262"/>
    <m/>
    <m/>
    <s v="CUST1442"/>
    <s v="David Garcia"/>
    <s v="Qatar"/>
    <s v="Allahabad"/>
    <s v="Chinese"/>
    <s v="Margherita Pizza"/>
    <n v="600"/>
    <n v="36.49"/>
    <n v="2.5"/>
    <n v="30.69"/>
    <n v="4"/>
    <n v="4"/>
    <n v="491.04"/>
    <n v="9.1"/>
    <n v="481.94"/>
  </r>
  <r>
    <s v="F6D20003"/>
    <m/>
    <m/>
    <s v="CUST9554"/>
    <s v="Sophia Brown"/>
    <s v="Indonesia"/>
    <s v="Amritsar"/>
    <s v="Cafe"/>
    <s v="Tandoori Roti"/>
    <n v="4400"/>
    <n v="5.03"/>
    <n v="4"/>
    <n v="9.0500000000000007"/>
    <n v="2"/>
    <n v="12"/>
    <n v="217.20000000000002"/>
    <n v="4.8099999999999996"/>
    <n v="212.39"/>
  </r>
  <r>
    <s v="71415B23"/>
    <m/>
    <m/>
    <s v="CUST6966"/>
    <s v="David Das"/>
    <s v="India"/>
    <s v="Amritsar"/>
    <s v="North Indian, Chinese"/>
    <s v="Veg Biryani"/>
    <n v="982"/>
    <n v="27.05"/>
    <n v="1.5"/>
    <n v="6.4"/>
    <n v="4"/>
    <n v="19"/>
    <n v="486.40000000000003"/>
    <n v="1.88"/>
    <n v="484.52"/>
  </r>
  <r>
    <s v="123BAEC6"/>
    <m/>
    <m/>
    <s v="CUST1840"/>
    <s v="David Singh"/>
    <s v="New Zealand"/>
    <s v="Amritsar"/>
    <s v="North Indian"/>
    <s v="Margherita Pizza"/>
    <n v="4818"/>
    <n v="33.659999999999997"/>
    <n v="3.8"/>
    <n v="28.66"/>
    <n v="5"/>
    <n v="16"/>
    <n v="2292.8000000000002"/>
    <n v="0.98"/>
    <n v="2291.8200000000002"/>
  </r>
  <r>
    <s v="88D8D5F3"/>
    <m/>
    <m/>
    <s v="CUST5170"/>
    <s v="John Khan"/>
    <s v="India"/>
    <s v="Amritsar"/>
    <s v="North Indian, Mughlai"/>
    <s v="Spring Rolls"/>
    <n v="2937"/>
    <n v="24.94"/>
    <n v="2.2999999999999998"/>
    <n v="17.39"/>
    <n v="4"/>
    <n v="8"/>
    <n v="556.48"/>
    <n v="5.21"/>
    <n v="551.27"/>
  </r>
  <r>
    <s v="9B31096C"/>
    <m/>
    <m/>
    <s v="CUST5427"/>
    <s v="Emily Taylor"/>
    <s v="Brazil"/>
    <s v="Amritsar"/>
    <s v="North Indian"/>
    <s v="Masala Dosa"/>
    <n v="4744"/>
    <n v="14.78"/>
    <n v="4"/>
    <n v="31.9"/>
    <n v="4"/>
    <n v="13"/>
    <n v="1658.8"/>
    <n v="2.21"/>
    <n v="1656.59"/>
  </r>
  <r>
    <s v="2D55282E"/>
    <m/>
    <m/>
    <s v="CUST6038"/>
    <s v="Ahmed Garcia"/>
    <s v="Canada"/>
    <s v="Amritsar"/>
    <s v="Chinese"/>
    <s v="Grilled Sandwich"/>
    <n v="4776"/>
    <n v="39.79"/>
    <n v="4.5"/>
    <n v="23.66"/>
    <n v="3"/>
    <n v="3"/>
    <n v="212.94"/>
    <n v="4.28"/>
    <n v="208.66"/>
  </r>
  <r>
    <s v="8412D482"/>
    <m/>
    <m/>
    <s v="CUST2391"/>
    <s v="John Khan"/>
    <s v="Qatar"/>
    <s v="Amritsar"/>
    <s v="North Indian"/>
    <s v="Chicken Biryani"/>
    <n v="4599"/>
    <n v="30.75"/>
    <n v="3.9"/>
    <n v="15.76"/>
    <n v="3"/>
    <n v="20"/>
    <n v="945.6"/>
    <n v="0.13"/>
    <n v="945.47"/>
  </r>
  <r>
    <s v="9B4502CF"/>
    <m/>
    <m/>
    <s v="CUST7918"/>
    <s v="Priya Lee"/>
    <s v="South Africa"/>
    <s v="Amritsar"/>
    <s v="Cafe"/>
    <s v="Cheeseburger"/>
    <n v="4543"/>
    <n v="44.44"/>
    <n v="2.2000000000000002"/>
    <n v="25.39"/>
    <n v="2"/>
    <n v="12"/>
    <n v="609.36"/>
    <n v="7.63"/>
    <n v="601.73"/>
  </r>
  <r>
    <s v="CA8950D8"/>
    <m/>
    <m/>
    <s v="CUST9302"/>
    <s v="Emily Das"/>
    <s v="Indonesia"/>
    <s v="Amritsar"/>
    <s v="North Indian, Chinese"/>
    <s v="Cheeseburger"/>
    <n v="2591"/>
    <n v="21.37"/>
    <n v="1.2"/>
    <n v="18.79"/>
    <n v="2"/>
    <n v="4"/>
    <n v="150.32"/>
    <n v="4.75"/>
    <n v="145.57"/>
  </r>
  <r>
    <s v="F9735BD7"/>
    <m/>
    <m/>
    <s v="CUST6333"/>
    <s v="John Patel"/>
    <s v="Brazil"/>
    <s v="Amritsar"/>
    <s v="North Indian, Chinese"/>
    <s v="Tandoori Roti"/>
    <n v="3574"/>
    <n v="48"/>
    <n v="2.8"/>
    <n v="15.25"/>
    <n v="1"/>
    <n v="7"/>
    <n v="106.75"/>
    <n v="3.52"/>
    <n v="103.23"/>
  </r>
  <r>
    <s v="E489B792"/>
    <m/>
    <m/>
    <s v="CUST3014"/>
    <s v="David Singh"/>
    <s v="Canada"/>
    <s v="Amritsar"/>
    <s v="North Indian, Mughlai"/>
    <s v="Tandoori Roti"/>
    <n v="2198"/>
    <n v="15.19"/>
    <n v="5"/>
    <n v="19.89"/>
    <n v="4"/>
    <n v="18"/>
    <n v="1432.08"/>
    <n v="9.32"/>
    <n v="1422.76"/>
  </r>
  <r>
    <s v="CD874924"/>
    <m/>
    <m/>
    <s v="CUST8436"/>
    <s v="Sophia Smith"/>
    <s v="Brazil"/>
    <s v="Ankara"/>
    <s v="Chinese"/>
    <s v="Margherita Pizza"/>
    <n v="4628"/>
    <n v="24.02"/>
    <n v="3.7"/>
    <n v="6.42"/>
    <n v="5"/>
    <n v="3"/>
    <n v="96.300000000000011"/>
    <n v="0.69"/>
    <n v="95.61"/>
  </r>
  <r>
    <s v="CBDE350B"/>
    <m/>
    <m/>
    <s v="CUST2733"/>
    <s v="Anita Patel"/>
    <s v="South Africa"/>
    <s v="Ankara"/>
    <s v="North Indian, Mughlai"/>
    <s v="Margherita Pizza"/>
    <n v="52"/>
    <n v="40.380000000000003"/>
    <n v="4.7"/>
    <n v="34.130000000000003"/>
    <n v="4"/>
    <n v="12"/>
    <n v="1638.2400000000002"/>
    <n v="6.2"/>
    <n v="1632.04"/>
  </r>
  <r>
    <s v="1F204FD5"/>
    <m/>
    <m/>
    <s v="CUST3817"/>
    <s v="John Khan"/>
    <s v="Australia"/>
    <s v="Ankara"/>
    <s v="Chinese"/>
    <s v="Chicken Biryani"/>
    <n v="3158"/>
    <n v="31.08"/>
    <n v="2.5"/>
    <n v="21.36"/>
    <n v="1"/>
    <n v="7"/>
    <n v="149.51999999999998"/>
    <n v="4.5599999999999996"/>
    <n v="144.96"/>
  </r>
  <r>
    <s v="42DCC405"/>
    <m/>
    <m/>
    <s v="CUST2242"/>
    <s v="Sophia Smith"/>
    <s v="Brazil"/>
    <s v="Ankara"/>
    <s v="Chinese"/>
    <s v="Sushi Platter"/>
    <n v="198"/>
    <n v="33.33"/>
    <n v="3.5"/>
    <n v="15.04"/>
    <n v="1"/>
    <n v="10"/>
    <n v="150.39999999999998"/>
    <n v="2.0499999999999998"/>
    <n v="148.35"/>
  </r>
  <r>
    <s v="919D0D43"/>
    <m/>
    <m/>
    <s v="CUST7831"/>
    <s v="Priya Singh"/>
    <s v="New Zealand"/>
    <s v="Ankara"/>
    <s v="North Indian"/>
    <s v="Margherita Pizza"/>
    <n v="1919"/>
    <n v="37.409999999999997"/>
    <n v="2.2000000000000002"/>
    <n v="25.86"/>
    <n v="1"/>
    <n v="17"/>
    <n v="439.62"/>
    <n v="8.1"/>
    <n v="431.52"/>
  </r>
  <r>
    <s v="8CFC99EA"/>
    <m/>
    <m/>
    <s v="CUST6678"/>
    <s v="Priya Khan"/>
    <s v="South Africa"/>
    <s v="Ankara"/>
    <s v="Chinese"/>
    <s v="Tandoori Roti"/>
    <n v="2994"/>
    <n v="39.24"/>
    <n v="3.6"/>
    <n v="28.14"/>
    <n v="4"/>
    <n v="6"/>
    <n v="675.36"/>
    <n v="7.82"/>
    <n v="667.54"/>
  </r>
  <r>
    <s v="9428D482"/>
    <m/>
    <m/>
    <s v="CUST8661"/>
    <s v="Anita Garcia"/>
    <s v="Qatar"/>
    <s v="Ankara"/>
    <s v="North Indian, Chinese"/>
    <s v="Shawarma"/>
    <n v="3797"/>
    <n v="39.51"/>
    <n v="1.8"/>
    <n v="12.08"/>
    <n v="3"/>
    <n v="18"/>
    <n v="652.32000000000005"/>
    <n v="0.23"/>
    <n v="652.09"/>
  </r>
  <r>
    <s v="24934BC1"/>
    <m/>
    <m/>
    <s v="CUST2859"/>
    <s v="John Lee"/>
    <s v="South Africa"/>
    <s v="Ankara"/>
    <s v="Cafe"/>
    <s v="Veg Biryani"/>
    <n v="3901"/>
    <n v="32.700000000000003"/>
    <n v="4.3"/>
    <n v="29.95"/>
    <n v="1"/>
    <n v="15"/>
    <n v="449.25"/>
    <n v="5.7"/>
    <n v="443.55"/>
  </r>
  <r>
    <s v="D157A3D3"/>
    <m/>
    <m/>
    <s v="CUST4089"/>
    <s v="Emily Taylor"/>
    <s v="India"/>
    <s v="Ankara"/>
    <s v="Cafe"/>
    <s v="Momos"/>
    <n v="1968"/>
    <n v="19.149999999999999"/>
    <n v="2.9"/>
    <n v="37.39"/>
    <n v="5"/>
    <n v="19"/>
    <n v="3552.0499999999997"/>
    <n v="7.63"/>
    <n v="3544.42"/>
  </r>
  <r>
    <s v="015B7B0E"/>
    <m/>
    <m/>
    <s v="CUST3343"/>
    <s v="Sara Das"/>
    <s v="Indonesia"/>
    <s v="Ankara"/>
    <s v="Cafe"/>
    <s v="Sushi Platter"/>
    <n v="3655"/>
    <n v="36.51"/>
    <n v="4.9000000000000004"/>
    <n v="36.130000000000003"/>
    <n v="1"/>
    <n v="13"/>
    <n v="469.69000000000005"/>
    <n v="9.08"/>
    <n v="460.61"/>
  </r>
  <r>
    <s v="CC42D8FF"/>
    <m/>
    <m/>
    <s v="CUST5704"/>
    <s v="David Khan"/>
    <s v="New Zealand"/>
    <s v="Ankara"/>
    <s v="Chinese"/>
    <s v="Grilled Sandwich"/>
    <n v="3331"/>
    <n v="18.309999999999999"/>
    <n v="4.7"/>
    <n v="33.479999999999997"/>
    <n v="5"/>
    <n v="6"/>
    <n v="1004.3999999999999"/>
    <n v="3.84"/>
    <n v="1000.56"/>
  </r>
  <r>
    <s v="90DB65A8"/>
    <m/>
    <m/>
    <s v="CUST6405"/>
    <s v="Ravi Smith"/>
    <s v="Brazil"/>
    <s v="Ankara"/>
    <s v="Chinese"/>
    <s v="Margherita Pizza"/>
    <n v="4036"/>
    <n v="35.549999999999997"/>
    <n v="4.2"/>
    <n v="35.450000000000003"/>
    <n v="2"/>
    <n v="6"/>
    <n v="425.40000000000003"/>
    <n v="9.08"/>
    <n v="416.32"/>
  </r>
  <r>
    <s v="F5F1F8F0"/>
    <m/>
    <m/>
    <s v="CUST9711"/>
    <s v="Sophia Brown"/>
    <s v="Canada"/>
    <s v="Ankara"/>
    <s v="Chinese"/>
    <s v="Grilled Sandwich"/>
    <n v="1204"/>
    <n v="17.93"/>
    <n v="1.9"/>
    <n v="30.27"/>
    <n v="2"/>
    <n v="2"/>
    <n v="121.08"/>
    <n v="1.75"/>
    <n v="119.33"/>
  </r>
  <r>
    <s v="AFEF93B1"/>
    <m/>
    <m/>
    <s v="CUST4067"/>
    <s v="Sophia Lee"/>
    <s v="Indonesia"/>
    <s v="Ankara"/>
    <s v="North Indian, Mughlai"/>
    <s v="Sushi Platter"/>
    <n v="1943"/>
    <n v="22.32"/>
    <n v="2"/>
    <n v="32.19"/>
    <n v="4"/>
    <n v="6"/>
    <n v="772.56"/>
    <n v="5.0199999999999996"/>
    <n v="767.54"/>
  </r>
  <r>
    <s v="FE3B5B36"/>
    <m/>
    <m/>
    <s v="CUST8438"/>
    <s v="David Sharma"/>
    <s v="India"/>
    <s v="Ankara"/>
    <s v="Cafe"/>
    <s v="Grilled Sandwich"/>
    <n v="655"/>
    <n v="22.54"/>
    <n v="2.1"/>
    <n v="36.29"/>
    <n v="4"/>
    <n v="12"/>
    <n v="1741.92"/>
    <n v="7.47"/>
    <n v="1734.45"/>
  </r>
  <r>
    <s v="38326A93"/>
    <m/>
    <m/>
    <s v="CUST6182"/>
    <s v="Priya Garcia"/>
    <s v="Qatar"/>
    <s v="Ankara"/>
    <s v="Cafe"/>
    <s v="Margherita Pizza"/>
    <n v="255"/>
    <n v="27.72"/>
    <n v="2.9"/>
    <n v="36.020000000000003"/>
    <n v="1"/>
    <n v="5"/>
    <n v="180.10000000000002"/>
    <n v="8.1"/>
    <n v="172"/>
  </r>
  <r>
    <s v="F73F8165"/>
    <m/>
    <m/>
    <s v="CUST6101"/>
    <s v="Kumar Taylor"/>
    <s v="New Zealand"/>
    <s v="Athens"/>
    <s v="North Indian, Chinese"/>
    <s v="Chicken Biryani"/>
    <n v="4376"/>
    <n v="40.67"/>
    <n v="1.2"/>
    <n v="10.82"/>
    <n v="4"/>
    <n v="6"/>
    <n v="259.68"/>
    <n v="7.27"/>
    <n v="252.41"/>
  </r>
  <r>
    <s v="6C25FA66"/>
    <m/>
    <m/>
    <s v="CUST3859"/>
    <s v="Anita Khan"/>
    <s v="Philippines"/>
    <s v="Athens"/>
    <s v="North Indian, Chinese"/>
    <s v="Spring Rolls"/>
    <n v="1274"/>
    <n v="19.760000000000002"/>
    <n v="1.1000000000000001"/>
    <n v="15.58"/>
    <n v="4"/>
    <n v="6"/>
    <n v="373.92"/>
    <n v="0.56999999999999995"/>
    <n v="373.35"/>
  </r>
  <r>
    <s v="FE9DDF31"/>
    <m/>
    <m/>
    <s v="CUST6029"/>
    <s v="John Khan"/>
    <s v="Australia"/>
    <s v="Athens"/>
    <s v="Cafe"/>
    <s v="Paneer Tikka"/>
    <n v="3107"/>
    <n v="43.56"/>
    <n v="2.9"/>
    <n v="9.9"/>
    <n v="4"/>
    <n v="19"/>
    <n v="752.4"/>
    <n v="4.17"/>
    <n v="748.23"/>
  </r>
  <r>
    <s v="B960809F"/>
    <m/>
    <m/>
    <s v="CUST9840"/>
    <s v="Sara Patel"/>
    <s v="Australia"/>
    <s v="Athens"/>
    <s v="North Indian"/>
    <s v="Pasta Alfredo"/>
    <n v="3690"/>
    <n v="31.24"/>
    <n v="4.3"/>
    <n v="31.67"/>
    <n v="3"/>
    <n v="7"/>
    <n v="665.07"/>
    <n v="4.92"/>
    <n v="660.15"/>
  </r>
  <r>
    <s v="F61D7B81"/>
    <m/>
    <m/>
    <s v="CUST3014"/>
    <s v="Priya Singh"/>
    <s v="India"/>
    <s v="Athens"/>
    <s v="Chinese"/>
    <s v="Spring Rolls"/>
    <n v="938"/>
    <n v="37.92"/>
    <n v="3.1"/>
    <n v="36.51"/>
    <n v="3"/>
    <n v="7"/>
    <n v="766.71"/>
    <n v="6.74"/>
    <n v="759.97"/>
  </r>
  <r>
    <s v="ADCCD0DD"/>
    <m/>
    <m/>
    <s v="CUST3340"/>
    <s v="David Brown"/>
    <s v="Canada"/>
    <s v="Auckland"/>
    <s v="North Indian"/>
    <s v="Shawarma"/>
    <n v="3900"/>
    <n v="6.42"/>
    <n v="4.3"/>
    <n v="7.41"/>
    <n v="3"/>
    <n v="2"/>
    <n v="44.46"/>
    <n v="2.87"/>
    <n v="41.59"/>
  </r>
  <r>
    <s v="1EB560A9"/>
    <m/>
    <m/>
    <s v="CUST3004"/>
    <s v="Priya Das"/>
    <s v="India"/>
    <s v="Auckland"/>
    <s v="North Indian, Mughlai"/>
    <s v="Paneer Tikka"/>
    <n v="1406"/>
    <n v="48.04"/>
    <n v="1.8"/>
    <n v="38.79"/>
    <n v="5"/>
    <n v="5"/>
    <n v="969.75"/>
    <n v="7.23"/>
    <n v="962.52"/>
  </r>
  <r>
    <s v="95B70454"/>
    <m/>
    <m/>
    <s v="CUST7378"/>
    <s v="Ahmed Patel"/>
    <s v="Singapore"/>
    <s v="Auckland"/>
    <s v="Chinese"/>
    <s v="Chicken Biryani"/>
    <n v="2037"/>
    <n v="32.31"/>
    <n v="3"/>
    <n v="20.18"/>
    <n v="5"/>
    <n v="20"/>
    <n v="2018"/>
    <n v="9.35"/>
    <n v="2008.65"/>
  </r>
  <r>
    <s v="798E196F"/>
    <m/>
    <m/>
    <s v="CUST4183"/>
    <s v="David Brown"/>
    <s v="Australia"/>
    <s v="Auckland"/>
    <s v="Cafe"/>
    <s v="Momos"/>
    <n v="3928"/>
    <n v="13.04"/>
    <n v="3.3"/>
    <n v="21.73"/>
    <n v="5"/>
    <n v="11"/>
    <n v="1195.1500000000001"/>
    <n v="4.08"/>
    <n v="1191.07"/>
  </r>
  <r>
    <s v="92BCEAF8"/>
    <m/>
    <m/>
    <s v="CUST8797"/>
    <s v="Ahmed Smith"/>
    <s v="Canada"/>
    <s v="Auckland"/>
    <s v="North Indian"/>
    <s v="Paneer Tikka"/>
    <n v="3182"/>
    <n v="36.47"/>
    <n v="2.2000000000000002"/>
    <n v="37.79"/>
    <n v="3"/>
    <n v="4"/>
    <n v="453.48"/>
    <n v="9.5"/>
    <n v="443.98"/>
  </r>
  <r>
    <s v="86B9764C"/>
    <m/>
    <m/>
    <s v="CUST1440"/>
    <s v="Ravi Das"/>
    <s v="Qatar"/>
    <s v="Auckland"/>
    <s v="North Indian, Mughlai"/>
    <s v="Butter Chicken"/>
    <n v="4633"/>
    <n v="26.22"/>
    <n v="4.0999999999999996"/>
    <n v="10.02"/>
    <n v="3"/>
    <n v="10"/>
    <n v="300.59999999999997"/>
    <n v="8.01"/>
    <n v="292.58999999999997"/>
  </r>
  <r>
    <s v="BA8F704A"/>
    <m/>
    <m/>
    <s v="CUST5230"/>
    <s v="Ravi Patel"/>
    <s v="Singapore"/>
    <s v="Auckland"/>
    <s v="Chinese"/>
    <s v="Masala Dosa"/>
    <n v="4696"/>
    <n v="42.95"/>
    <n v="3.2"/>
    <n v="17.62"/>
    <n v="4"/>
    <n v="5"/>
    <n v="352.40000000000003"/>
    <n v="7.25"/>
    <n v="345.15"/>
  </r>
  <r>
    <s v="022861EE"/>
    <m/>
    <m/>
    <s v="CUST7600"/>
    <s v="Emily Khan"/>
    <s v="Singapore"/>
    <s v="Auckland"/>
    <s v="Cafe"/>
    <s v="Pasta Alfredo"/>
    <n v="362"/>
    <n v="48.2"/>
    <n v="2"/>
    <n v="20.43"/>
    <n v="4"/>
    <n v="4"/>
    <n v="326.88"/>
    <n v="1.59"/>
    <n v="325.29000000000002"/>
  </r>
  <r>
    <s v="B8CF26A6"/>
    <m/>
    <m/>
    <s v="CUST3359"/>
    <s v="Emily Garcia"/>
    <s v="South Africa"/>
    <s v="Abu Dhabi"/>
    <s v="North Indian, Mughlai"/>
    <s v="Spring Rolls"/>
    <n v="993"/>
    <n v="31.77"/>
    <n v="2.2000000000000002"/>
    <n v="10.18"/>
    <n v="5"/>
    <n v="4"/>
    <n v="203.6"/>
    <n v="1.01"/>
    <n v="202.59"/>
  </r>
  <r>
    <s v="976446A4"/>
    <m/>
    <m/>
    <s v="CUST9898"/>
    <s v="David Sharma"/>
    <s v="Indonesia"/>
    <s v="Abu Dhabi"/>
    <s v="Chinese"/>
    <s v="Shawarma"/>
    <n v="748"/>
    <n v="17.98"/>
    <n v="4.5"/>
    <n v="5.64"/>
    <n v="2"/>
    <n v="17"/>
    <n v="191.76"/>
    <n v="6.26"/>
    <n v="185.5"/>
  </r>
  <r>
    <s v="C91F9A06"/>
    <m/>
    <m/>
    <s v="CUST1730"/>
    <s v="Anita Lee"/>
    <s v="Qatar"/>
    <s v="Abu Dhabi"/>
    <s v="North Indian, Mughlai"/>
    <s v="Veg Biryani"/>
    <n v="2488"/>
    <n v="30.95"/>
    <n v="4.2"/>
    <n v="21.36"/>
    <n v="5"/>
    <n v="10"/>
    <n v="1068"/>
    <n v="4.05"/>
    <n v="1063.95"/>
  </r>
  <r>
    <s v="751FD75F"/>
    <m/>
    <m/>
    <s v="CUST5711"/>
    <s v="Ahmed Taylor"/>
    <s v="Indonesia"/>
    <s v="Abu Dhabi"/>
    <s v="Chinese"/>
    <s v="Grilled Sandwich"/>
    <n v="4104"/>
    <n v="43.94"/>
    <n v="4.5"/>
    <n v="8.0399999999999991"/>
    <n v="3"/>
    <n v="5"/>
    <n v="120.6"/>
    <n v="2.5299999999999998"/>
    <n v="118.07"/>
  </r>
  <r>
    <s v="0A6BC75D"/>
    <m/>
    <m/>
    <s v="CUST1170"/>
    <s v="Sophia Lee"/>
    <s v="Brazil"/>
    <s v="Abu Dhabi"/>
    <s v="North Indian, Mughlai"/>
    <s v="Momos"/>
    <n v="511"/>
    <n v="20.12"/>
    <n v="4.2"/>
    <n v="38.880000000000003"/>
    <n v="3"/>
    <n v="8"/>
    <n v="933.12000000000012"/>
    <n v="9.61"/>
    <n v="923.51"/>
  </r>
  <r>
    <s v="434E5C56"/>
    <m/>
    <m/>
    <s v="CUST3592"/>
    <s v="Emily Singh"/>
    <s v="Australia"/>
    <s v="Abu Dhabi"/>
    <s v="North Indian, Chinese"/>
    <s v="Pasta Alfredo"/>
    <n v="248"/>
    <n v="10.78"/>
    <n v="2.1"/>
    <n v="32.85"/>
    <n v="5"/>
    <n v="10"/>
    <n v="1642.5"/>
    <n v="9.77"/>
    <n v="1632.73"/>
  </r>
  <r>
    <s v="720E2540"/>
    <m/>
    <m/>
    <s v="CUST2553"/>
    <s v="Sara Garcia"/>
    <s v="Australia"/>
    <s v="Abu Dhabi"/>
    <s v="North Indian"/>
    <s v="Grilled Sandwich"/>
    <n v="3455"/>
    <n v="9.3800000000000008"/>
    <n v="1.2"/>
    <n v="8.75"/>
    <n v="4"/>
    <n v="12"/>
    <n v="420"/>
    <n v="2.98"/>
    <n v="417.02"/>
  </r>
  <r>
    <s v="86DD3B1A"/>
    <m/>
    <m/>
    <s v="CUST2295"/>
    <s v="Ravi Brown"/>
    <s v="South Africa"/>
    <s v="Abu Dhabi"/>
    <s v="Cafe"/>
    <s v="Momos"/>
    <n v="111"/>
    <n v="19.79"/>
    <n v="1"/>
    <n v="5.78"/>
    <n v="3"/>
    <n v="15"/>
    <n v="260.10000000000002"/>
    <n v="0.31"/>
    <n v="259.79000000000002"/>
  </r>
  <r>
    <s v="B978067A"/>
    <m/>
    <m/>
    <s v="CUST7865"/>
    <s v="Ravi Brown"/>
    <s v="Indonesia"/>
    <s v="Abu Dhabi"/>
    <s v="Chinese"/>
    <s v="Cheeseburger"/>
    <n v="351"/>
    <n v="39.15"/>
    <n v="3.6"/>
    <n v="33.08"/>
    <n v="4"/>
    <n v="20"/>
    <n v="2646.3999999999996"/>
    <n v="6.89"/>
    <n v="2639.51"/>
  </r>
  <r>
    <s v="A4F042EF"/>
    <m/>
    <m/>
    <s v="CUST2252"/>
    <s v="Anita Garcia"/>
    <s v="Brazil"/>
    <s v="Abu Dhabi"/>
    <s v="North Indian"/>
    <s v="Cheeseburger"/>
    <n v="4367"/>
    <n v="7.73"/>
    <n v="3.3"/>
    <n v="9.1199999999999992"/>
    <n v="1"/>
    <n v="12"/>
    <n v="109.44"/>
    <n v="1.83"/>
    <n v="107.61"/>
  </r>
  <r>
    <s v="D8B85E7B"/>
    <m/>
    <m/>
    <s v="CUST3472"/>
    <s v="Emily Lee"/>
    <s v="Philippines"/>
    <s v="Abu Dhabi"/>
    <s v="North Indian, Mughlai"/>
    <s v="Momos"/>
    <n v="1266"/>
    <n v="15.66"/>
    <n v="1.5"/>
    <n v="14.44"/>
    <n v="5"/>
    <n v="10"/>
    <n v="722"/>
    <n v="5.57"/>
    <n v="716.43"/>
  </r>
  <r>
    <s v="762C4D36"/>
    <m/>
    <m/>
    <s v="CUST4119"/>
    <s v="Sophia Lee"/>
    <s v="Australia"/>
    <s v="Abu Dhabi"/>
    <s v="North Indian"/>
    <s v="Shawarma"/>
    <n v="1428"/>
    <n v="7.58"/>
    <n v="1.3"/>
    <n v="38.119999999999997"/>
    <n v="3"/>
    <n v="19"/>
    <n v="2172.8399999999997"/>
    <n v="0.51"/>
    <n v="2172.33"/>
  </r>
  <r>
    <s v="9EB31B6E"/>
    <m/>
    <m/>
    <s v="CUST8100"/>
    <s v="Sophia Taylor"/>
    <s v="Philippines"/>
    <s v="Abu Dhabi"/>
    <s v="North Indian, Chinese"/>
    <s v="Grilled Sandwich"/>
    <n v="1220"/>
    <n v="16.27"/>
    <n v="2.2000000000000002"/>
    <n v="20.6"/>
    <n v="1"/>
    <n v="4"/>
    <n v="82.4"/>
    <n v="7.8"/>
    <n v="74.599999999999994"/>
  </r>
  <r>
    <s v="DB74BF93"/>
    <m/>
    <m/>
    <s v="CUST1862"/>
    <s v="Sara Das"/>
    <s v="Australia"/>
    <s v="Abu Dhabi"/>
    <s v="Cafe"/>
    <s v="Cheeseburger"/>
    <n v="2626"/>
    <n v="23.29"/>
    <n v="4.8"/>
    <n v="8.2799999999999994"/>
    <n v="4"/>
    <n v="15"/>
    <n v="496.79999999999995"/>
    <n v="9.9"/>
    <n v="486.9"/>
  </r>
  <r>
    <s v="490162CE"/>
    <m/>
    <m/>
    <s v="CUST2508"/>
    <s v="Sophia Singh"/>
    <s v="South Africa"/>
    <s v="Abu Dhabi"/>
    <s v="Cafe"/>
    <s v="Paneer Tikka"/>
    <n v="1475"/>
    <n v="31.04"/>
    <n v="4.8"/>
    <n v="25.2"/>
    <n v="1"/>
    <n v="20"/>
    <n v="504"/>
    <n v="2.1800000000000002"/>
    <n v="501.82"/>
  </r>
  <r>
    <s v="EFCA3003"/>
    <m/>
    <m/>
    <s v="CUST8717"/>
    <s v="Sara Das"/>
    <s v="South Africa"/>
    <s v="Agra"/>
    <s v="Cafe"/>
    <s v="Veg Biryani"/>
    <n v="1883"/>
    <n v="40.75"/>
    <n v="1.5"/>
    <n v="5.35"/>
    <n v="5"/>
    <n v="5"/>
    <n v="133.75"/>
    <n v="4.87"/>
    <n v="128.88"/>
  </r>
  <r>
    <s v="ACD11B18"/>
    <m/>
    <m/>
    <s v="CUST8888"/>
    <s v="Emily Taylor"/>
    <s v="Philippines"/>
    <s v="Agra"/>
    <s v="Cafe"/>
    <s v="Veg Biryani"/>
    <n v="3057"/>
    <n v="44.19"/>
    <n v="4.7"/>
    <n v="34.97"/>
    <n v="3"/>
    <n v="6"/>
    <n v="629.46"/>
    <n v="0.08"/>
    <n v="629.38"/>
  </r>
  <r>
    <s v="8231C1E3"/>
    <m/>
    <m/>
    <s v="CUST6394"/>
    <s v="Priya Patel"/>
    <s v="South Africa"/>
    <s v="Agra"/>
    <s v="North Indian"/>
    <s v="Masala Dosa"/>
    <n v="80"/>
    <n v="28.74"/>
    <n v="2.2000000000000002"/>
    <n v="19.55"/>
    <n v="3"/>
    <n v="19"/>
    <n v="1114.3500000000001"/>
    <n v="6.69"/>
    <n v="1107.6600000000001"/>
  </r>
  <r>
    <s v="283E7D8F"/>
    <m/>
    <m/>
    <s v="CUST7999"/>
    <s v="Kumar Sharma"/>
    <s v="Philippines"/>
    <s v="Agra"/>
    <s v="North Indian, Mughlai"/>
    <s v="Butter Chicken"/>
    <n v="2207"/>
    <n v="24.5"/>
    <n v="4.4000000000000004"/>
    <n v="10.96"/>
    <n v="4"/>
    <n v="12"/>
    <n v="526.08000000000004"/>
    <n v="9.67"/>
    <n v="516.41"/>
  </r>
  <r>
    <s v="E2C7B081"/>
    <m/>
    <m/>
    <s v="CUST2069"/>
    <s v="David Smith"/>
    <s v="Canada"/>
    <s v="Agra"/>
    <s v="North Indian"/>
    <s v="Pasta Alfredo"/>
    <n v="1118"/>
    <n v="7.77"/>
    <n v="3.5"/>
    <n v="14.23"/>
    <n v="4"/>
    <n v="9"/>
    <n v="512.28"/>
    <n v="3.23"/>
    <n v="509.05"/>
  </r>
  <r>
    <s v="5A784D50"/>
    <m/>
    <m/>
    <s v="CUST1723"/>
    <s v="Priya Singh"/>
    <s v="South Africa"/>
    <s v="Agra"/>
    <s v="North Indian, Mughlai"/>
    <s v="Spring Rolls"/>
    <n v="3644"/>
    <n v="38.4"/>
    <n v="5"/>
    <n v="18.899999999999999"/>
    <n v="1"/>
    <n v="16"/>
    <n v="302.39999999999998"/>
    <n v="9.42"/>
    <n v="292.98"/>
  </r>
  <r>
    <s v="DEFA0C3A"/>
    <m/>
    <m/>
    <s v="CUST1713"/>
    <s v="Ravi Smith"/>
    <s v="Singapore"/>
    <s v="Agra"/>
    <s v="North Indian, Mughlai"/>
    <s v="Veg Biryani"/>
    <n v="2049"/>
    <n v="41.15"/>
    <n v="1.3"/>
    <n v="14.6"/>
    <n v="2"/>
    <n v="3"/>
    <n v="87.6"/>
    <n v="4.7"/>
    <n v="82.9"/>
  </r>
  <r>
    <s v="6D1EA5F4"/>
    <m/>
    <m/>
    <s v="CUST1406"/>
    <s v="Anita Khan"/>
    <s v="Canada"/>
    <s v="Agra"/>
    <s v="Cafe"/>
    <s v="Margherita Pizza"/>
    <n v="593"/>
    <n v="22.62"/>
    <n v="1.3"/>
    <n v="15.73"/>
    <n v="3"/>
    <n v="2"/>
    <n v="94.38"/>
    <n v="4.7699999999999996"/>
    <n v="89.61"/>
  </r>
  <r>
    <s v="5C77837B"/>
    <m/>
    <m/>
    <s v="CUST2419"/>
    <s v="Emily Khan"/>
    <s v="Australia"/>
    <s v="Agra"/>
    <s v="North Indian, Mughlai"/>
    <s v="Pasta Alfredo"/>
    <n v="3518"/>
    <n v="13.21"/>
    <n v="1.2"/>
    <n v="16.8"/>
    <n v="1"/>
    <n v="10"/>
    <n v="168"/>
    <n v="1.1000000000000001"/>
    <n v="166.9"/>
  </r>
  <r>
    <s v="1EBF35B3"/>
    <m/>
    <m/>
    <s v="CUST4018"/>
    <s v="Kumar Smith"/>
    <s v="Indonesia"/>
    <s v="Agra"/>
    <s v="North Indian, Mughlai"/>
    <s v="Tandoori Roti"/>
    <n v="1387"/>
    <n v="16.98"/>
    <n v="5"/>
    <n v="25.49"/>
    <n v="3"/>
    <n v="7"/>
    <n v="535.29"/>
    <n v="1.72"/>
    <n v="533.57000000000005"/>
  </r>
  <r>
    <s v="B585E43B"/>
    <m/>
    <m/>
    <s v="CUST6124"/>
    <s v="Ravi Khan"/>
    <s v="Philippines"/>
    <s v="Agra"/>
    <s v="North Indian, Mughlai"/>
    <s v="Margherita Pizza"/>
    <n v="2913"/>
    <n v="34.68"/>
    <n v="1.5"/>
    <n v="24.2"/>
    <n v="5"/>
    <n v="14"/>
    <n v="1694"/>
    <n v="2.4"/>
    <n v="1691.6"/>
  </r>
  <r>
    <s v="F212125F"/>
    <m/>
    <m/>
    <s v="CUST4271"/>
    <s v="Ahmed Patel"/>
    <s v="Philippines"/>
    <s v="Agra"/>
    <s v="North Indian, Chinese"/>
    <s v="Grilled Sandwich"/>
    <n v="883"/>
    <n v="18.47"/>
    <n v="3.1"/>
    <n v="35.89"/>
    <n v="3"/>
    <n v="9"/>
    <n v="969.03"/>
    <n v="1.83"/>
    <n v="967.2"/>
  </r>
  <r>
    <s v="ECA38CA8"/>
    <m/>
    <m/>
    <s v="CUST3173"/>
    <s v="Sophia Khan"/>
    <s v="Brazil"/>
    <s v="Ahmedabad"/>
    <s v="North Indian"/>
    <s v="Butter Chicken"/>
    <n v="4227"/>
    <n v="7.69"/>
    <n v="3.2"/>
    <n v="7.15"/>
    <n v="5"/>
    <n v="18"/>
    <n v="643.5"/>
    <n v="6.53"/>
    <n v="636.97"/>
  </r>
  <r>
    <s v="4071B239"/>
    <m/>
    <m/>
    <s v="CUST3574"/>
    <s v="John Lee"/>
    <s v="South Africa"/>
    <s v="Ahmedabad"/>
    <s v="North Indian"/>
    <s v="Momos"/>
    <n v="688"/>
    <n v="17.309999999999999"/>
    <n v="4.5"/>
    <n v="8.86"/>
    <n v="3"/>
    <n v="19"/>
    <n v="505.02"/>
    <n v="0.14000000000000001"/>
    <n v="504.88"/>
  </r>
  <r>
    <s v="54637D1F"/>
    <m/>
    <m/>
    <s v="CUST4202"/>
    <s v="Ahmed Das"/>
    <s v="South Africa"/>
    <s v="Ahmedabad"/>
    <s v="Chinese"/>
    <s v="Masala Dosa"/>
    <n v="4906"/>
    <n v="17.010000000000002"/>
    <n v="2.9"/>
    <n v="33.47"/>
    <n v="4"/>
    <n v="10"/>
    <n v="1338.8"/>
    <n v="8.8000000000000007"/>
    <n v="1330"/>
  </r>
  <r>
    <s v="A6F27989"/>
    <m/>
    <m/>
    <s v="CUST2192"/>
    <s v="Ravi Sharma"/>
    <s v="Australia"/>
    <s v="Ahmedabad"/>
    <s v="Chinese"/>
    <s v="Grilled Sandwich"/>
    <n v="241"/>
    <n v="14.01"/>
    <n v="1.5"/>
    <n v="37.49"/>
    <n v="4"/>
    <n v="6"/>
    <n v="899.76"/>
    <n v="5.39"/>
    <n v="894.37"/>
  </r>
  <r>
    <s v="A2136473"/>
    <m/>
    <m/>
    <s v="CUST4234"/>
    <s v="John Singh"/>
    <s v="Philippines"/>
    <s v="Ahmedabad"/>
    <s v="North Indian, Chinese"/>
    <s v="Momos"/>
    <n v="2438"/>
    <n v="22.17"/>
    <n v="3.8"/>
    <n v="21.8"/>
    <n v="1"/>
    <n v="1"/>
    <n v="21.8"/>
    <n v="4.43"/>
    <n v="17.37"/>
  </r>
  <r>
    <s v="1A5BFCF5"/>
    <m/>
    <m/>
    <s v="CUST7049"/>
    <s v="Ahmed Khan"/>
    <s v="Singapore"/>
    <s v="Ahmedabad"/>
    <s v="North Indian"/>
    <s v="Cheeseburger"/>
    <n v="4279"/>
    <n v="15.3"/>
    <n v="1.6"/>
    <n v="34.26"/>
    <n v="1"/>
    <n v="20"/>
    <n v="685.19999999999993"/>
    <n v="3.21"/>
    <n v="681.99"/>
  </r>
  <r>
    <s v="1E2096DA"/>
    <m/>
    <m/>
    <s v="CUST4509"/>
    <s v="Sophia Lee"/>
    <s v="Canada"/>
    <s v="Ahmedabad"/>
    <s v="Chinese"/>
    <s v="Sushi Platter"/>
    <n v="3853"/>
    <n v="35.15"/>
    <n v="2"/>
    <n v="37.65"/>
    <n v="5"/>
    <n v="14"/>
    <n v="2635.5"/>
    <n v="9.35"/>
    <n v="2626.15"/>
  </r>
  <r>
    <s v="AF1EB0BF"/>
    <m/>
    <m/>
    <s v="CUST3819"/>
    <s v="David Das"/>
    <s v="New Zealand"/>
    <s v="Ahmedabad"/>
    <s v="North Indian, Chinese"/>
    <s v="Tandoori Roti"/>
    <n v="3118"/>
    <n v="17.61"/>
    <n v="4.7"/>
    <n v="27.68"/>
    <n v="1"/>
    <n v="17"/>
    <n v="470.56"/>
    <n v="3.64"/>
    <n v="466.92"/>
  </r>
  <r>
    <s v="98F19184"/>
    <m/>
    <m/>
    <s v="CUST5246"/>
    <s v="Ahmed Taylor"/>
    <s v="Qatar"/>
    <s v="Ahmedabad"/>
    <s v="North Indian, Mughlai"/>
    <s v="Butter Chicken"/>
    <n v="2989"/>
    <n v="28.74"/>
    <n v="4.9000000000000004"/>
    <n v="32.76"/>
    <n v="2"/>
    <n v="9"/>
    <n v="589.67999999999995"/>
    <n v="6.43"/>
    <n v="583.25"/>
  </r>
  <r>
    <s v="1538BF20"/>
    <m/>
    <m/>
    <s v="CUST8458"/>
    <s v="Kumar Taylor"/>
    <s v="India"/>
    <s v="Ahmedabad"/>
    <s v="North Indian"/>
    <s v="Veg Biryani"/>
    <n v="422"/>
    <n v="13.27"/>
    <n v="1.9"/>
    <n v="35.1"/>
    <n v="3"/>
    <n v="8"/>
    <n v="842.40000000000009"/>
    <n v="4.8499999999999996"/>
    <n v="837.55"/>
  </r>
  <r>
    <s v="537C0C28"/>
    <m/>
    <m/>
    <s v="CUST5598"/>
    <s v="Ahmed Das"/>
    <s v="Philippines"/>
    <s v="Ahmedabad"/>
    <s v="North Indian"/>
    <s v="Sushi Platter"/>
    <n v="4742"/>
    <n v="28.11"/>
    <n v="3.2"/>
    <n v="8.6300000000000008"/>
    <n v="5"/>
    <n v="15"/>
    <n v="647.25000000000011"/>
    <n v="6.56"/>
    <n v="640.69000000000005"/>
  </r>
  <r>
    <s v="A7E39499"/>
    <m/>
    <m/>
    <s v="CUST4130"/>
    <s v="Kumar Singh"/>
    <s v="Singapore"/>
    <s v="Albany"/>
    <s v="North Indian, Mughlai"/>
    <s v="Margherita Pizza"/>
    <n v="3991"/>
    <n v="17.12"/>
    <n v="1.5"/>
    <n v="23.6"/>
    <n v="5"/>
    <n v="11"/>
    <n v="1298"/>
    <n v="2.93"/>
    <n v="1295.07"/>
  </r>
  <r>
    <s v="D307264B"/>
    <m/>
    <m/>
    <s v="CUST5873"/>
    <s v="Sara Garcia"/>
    <s v="Indonesia"/>
    <s v="Albany"/>
    <s v="North Indian"/>
    <s v="Tandoori Roti"/>
    <n v="3472"/>
    <n v="13.23"/>
    <n v="2.9"/>
    <n v="13.89"/>
    <n v="1"/>
    <n v="1"/>
    <n v="13.89"/>
    <n v="4.8"/>
    <n v="9.09"/>
  </r>
  <r>
    <s v="B0BC89C2"/>
    <m/>
    <m/>
    <s v="CUST5398"/>
    <s v="Anita Lee"/>
    <s v="New Zealand"/>
    <s v="Albany"/>
    <s v="North Indian, Chinese"/>
    <s v="Butter Chicken"/>
    <n v="3203"/>
    <n v="27.29"/>
    <n v="1.7"/>
    <n v="30.51"/>
    <n v="4"/>
    <n v="4"/>
    <n v="488.16"/>
    <n v="8.93"/>
    <n v="479.23"/>
  </r>
  <r>
    <s v="1AF6FCEA"/>
    <m/>
    <m/>
    <s v="CUST6830"/>
    <s v="Sophia Garcia"/>
    <s v="Philippines"/>
    <s v="Albany"/>
    <s v="Cafe"/>
    <s v="Grilled Sandwich"/>
    <n v="2494"/>
    <n v="35.770000000000003"/>
    <n v="3.6"/>
    <n v="8.9499999999999993"/>
    <n v="3"/>
    <n v="20"/>
    <n v="537"/>
    <n v="1.74"/>
    <n v="535.26"/>
  </r>
  <r>
    <s v="C4230257"/>
    <m/>
    <m/>
    <s v="CUST8896"/>
    <s v="Anita Sharma"/>
    <s v="Canada"/>
    <s v="Albany"/>
    <s v="Chinese"/>
    <s v="Chicken Biryani"/>
    <n v="2863"/>
    <n v="22.28"/>
    <n v="3"/>
    <n v="20.81"/>
    <n v="3"/>
    <n v="10"/>
    <n v="624.29999999999995"/>
    <n v="6.45"/>
    <n v="617.85"/>
  </r>
  <r>
    <s v="A28290D3"/>
    <m/>
    <m/>
    <s v="CUST5822"/>
    <s v="Sophia Smith"/>
    <s v="Canada"/>
    <s v="Allahabad"/>
    <s v="Chinese"/>
    <s v="Pasta Alfredo"/>
    <n v="2534"/>
    <n v="17.649999999999999"/>
    <n v="4.9000000000000004"/>
    <n v="35.6"/>
    <n v="1"/>
    <n v="5"/>
    <n v="178"/>
    <n v="8.5500000000000007"/>
    <n v="169.45"/>
  </r>
  <r>
    <s v="3A7680AE"/>
    <m/>
    <m/>
    <s v="CUST3701"/>
    <s v="Anita Das"/>
    <s v="Qatar"/>
    <s v="Allahabad"/>
    <s v="North Indian, Chinese"/>
    <s v="Margherita Pizza"/>
    <n v="2566"/>
    <n v="8.76"/>
    <n v="1.4"/>
    <n v="31.29"/>
    <n v="2"/>
    <n v="15"/>
    <n v="938.69999999999993"/>
    <n v="3"/>
    <n v="935.7"/>
  </r>
  <r>
    <s v="27B0A8CC"/>
    <m/>
    <m/>
    <s v="CUST6614"/>
    <s v="David Brown"/>
    <s v="Australia"/>
    <s v="Allahabad"/>
    <s v="Cafe"/>
    <s v="Shawarma"/>
    <n v="1156"/>
    <n v="15.91"/>
    <n v="3"/>
    <n v="12.08"/>
    <n v="4"/>
    <n v="7"/>
    <n v="338.24"/>
    <n v="9.1300000000000008"/>
    <n v="329.11"/>
  </r>
  <r>
    <s v="59600162"/>
    <m/>
    <m/>
    <s v="CUST7086"/>
    <s v="John Brown"/>
    <s v="South Africa"/>
    <s v="Allahabad"/>
    <s v="Cafe"/>
    <s v="Fried Rice"/>
    <n v="2028"/>
    <n v="33"/>
    <n v="1.1000000000000001"/>
    <n v="36"/>
    <n v="4"/>
    <n v="8"/>
    <n v="1152"/>
    <n v="7.16"/>
    <n v="1144.8399999999999"/>
  </r>
  <r>
    <s v="5B5E9295"/>
    <m/>
    <m/>
    <s v="CUST8262"/>
    <s v="Emily Patel"/>
    <s v="Indonesia"/>
    <s v="Allahabad"/>
    <s v="North Indian, Chinese"/>
    <s v="Masala Dosa"/>
    <n v="2867"/>
    <n v="37.81"/>
    <n v="3.9"/>
    <n v="39.49"/>
    <n v="2"/>
    <n v="20"/>
    <n v="1579.6000000000001"/>
    <n v="7.2"/>
    <n v="1572.4"/>
  </r>
  <r>
    <s v="F18420BA"/>
    <m/>
    <m/>
    <s v="CUST2958"/>
    <s v="Sara Taylor"/>
    <s v="Singapore"/>
    <s v="Allahabad"/>
    <s v="Cafe"/>
    <s v="Grilled Sandwich"/>
    <n v="871"/>
    <n v="8.68"/>
    <n v="1"/>
    <n v="28.45"/>
    <n v="3"/>
    <n v="13"/>
    <n v="1109.55"/>
    <n v="0.95"/>
    <n v="1108.5999999999999"/>
  </r>
  <r>
    <s v="55163FC4"/>
    <m/>
    <m/>
    <s v="CUST4714"/>
    <s v="Sophia Das"/>
    <s v="South Africa"/>
    <s v="Allahabad"/>
    <s v="Cafe"/>
    <s v="Paneer Tikka"/>
    <n v="2678"/>
    <n v="40.82"/>
    <n v="3.8"/>
    <n v="6.39"/>
    <n v="3"/>
    <n v="9"/>
    <n v="172.52999999999997"/>
    <n v="3.01"/>
    <n v="169.52"/>
  </r>
  <r>
    <s v="22224B3C"/>
    <m/>
    <m/>
    <s v="CUST3902"/>
    <s v="Priya Sharma"/>
    <s v="South Africa"/>
    <s v="Allahabad"/>
    <s v="North Indian"/>
    <s v="Pasta Alfredo"/>
    <n v="208"/>
    <n v="10.54"/>
    <n v="1.2"/>
    <n v="25.98"/>
    <n v="4"/>
    <n v="8"/>
    <n v="831.36"/>
    <n v="1.99"/>
    <n v="829.37"/>
  </r>
  <r>
    <s v="8DEAF553"/>
    <m/>
    <m/>
    <s v="CUST7482"/>
    <s v="Sophia Smith"/>
    <s v="Philippines"/>
    <s v="Amritsar"/>
    <s v="North Indian, Mughlai"/>
    <s v="Pasta Alfredo"/>
    <n v="3215"/>
    <n v="14.82"/>
    <n v="2.2999999999999998"/>
    <n v="29.91"/>
    <n v="5"/>
    <n v="7"/>
    <n v="1046.8500000000001"/>
    <n v="7.84"/>
    <n v="1039.01"/>
  </r>
  <r>
    <s v="874DA5C2"/>
    <m/>
    <m/>
    <s v="CUST9091"/>
    <s v="Sara Taylor"/>
    <s v="South Africa"/>
    <s v="Amritsar"/>
    <s v="North Indian, Mughlai"/>
    <s v="Masala Dosa"/>
    <n v="4918"/>
    <n v="14.28"/>
    <n v="4.2"/>
    <n v="24.33"/>
    <n v="4"/>
    <n v="18"/>
    <n v="1751.7599999999998"/>
    <n v="0.71"/>
    <n v="1751.05"/>
  </r>
  <r>
    <s v="5F3969F4"/>
    <m/>
    <m/>
    <s v="CUST3084"/>
    <s v="Ravi Khan"/>
    <s v="India"/>
    <s v="Amritsar"/>
    <s v="North Indian, Mughlai"/>
    <s v="Margherita Pizza"/>
    <n v="2402"/>
    <n v="45.22"/>
    <n v="5"/>
    <n v="7.39"/>
    <n v="1"/>
    <n v="10"/>
    <n v="73.899999999999991"/>
    <n v="2.52"/>
    <n v="71.38"/>
  </r>
  <r>
    <s v="62CF6878"/>
    <m/>
    <m/>
    <s v="CUST9320"/>
    <s v="John Khan"/>
    <s v="Philippines"/>
    <s v="Amritsar"/>
    <s v="North Indian, Mughlai"/>
    <s v="Shawarma"/>
    <n v="348"/>
    <n v="41.94"/>
    <n v="1.2"/>
    <n v="39.729999999999997"/>
    <n v="5"/>
    <n v="4"/>
    <n v="794.59999999999991"/>
    <n v="7.69"/>
    <n v="786.91"/>
  </r>
  <r>
    <s v="16BD7C46"/>
    <m/>
    <m/>
    <s v="CUST6334"/>
    <s v="David Taylor"/>
    <s v="Canada"/>
    <s v="Amritsar"/>
    <s v="North Indian, Mughlai"/>
    <s v="Margherita Pizza"/>
    <n v="1551"/>
    <n v="7.94"/>
    <n v="2"/>
    <n v="32.35"/>
    <n v="1"/>
    <n v="5"/>
    <n v="161.75"/>
    <n v="0.05"/>
    <n v="161.69999999999999"/>
  </r>
  <r>
    <s v="782103F5"/>
    <m/>
    <m/>
    <s v="CUST6912"/>
    <s v="John Patel"/>
    <s v="Canada"/>
    <s v="Amritsar"/>
    <s v="North Indian, Chinese"/>
    <s v="Veg Biryani"/>
    <n v="2715"/>
    <n v="48.42"/>
    <n v="2.9"/>
    <n v="25.36"/>
    <n v="4"/>
    <n v="10"/>
    <n v="1014.4"/>
    <n v="1.97"/>
    <n v="1012.43"/>
  </r>
  <r>
    <s v="43BE83FD"/>
    <m/>
    <m/>
    <s v="CUST7036"/>
    <s v="Anita Patel"/>
    <s v="Australia"/>
    <s v="Amritsar"/>
    <s v="North Indian"/>
    <s v="Shawarma"/>
    <n v="3534"/>
    <n v="10.08"/>
    <n v="4.4000000000000004"/>
    <n v="12.38"/>
    <n v="5"/>
    <n v="16"/>
    <n v="990.40000000000009"/>
    <n v="3.19"/>
    <n v="987.21"/>
  </r>
  <r>
    <s v="2ED1C67B"/>
    <m/>
    <m/>
    <s v="CUST3281"/>
    <s v="Priya Garcia"/>
    <s v="Brazil"/>
    <s v="Amritsar"/>
    <s v="Chinese"/>
    <s v="Cheeseburger"/>
    <n v="3600"/>
    <n v="13.68"/>
    <n v="1.9"/>
    <n v="22.82"/>
    <n v="2"/>
    <n v="9"/>
    <n v="410.76"/>
    <n v="7.93"/>
    <n v="402.83"/>
  </r>
  <r>
    <s v="0405B076"/>
    <m/>
    <m/>
    <s v="CUST2694"/>
    <s v="Priya Brown"/>
    <s v="Qatar"/>
    <s v="Ankara"/>
    <s v="Chinese"/>
    <s v="Margherita Pizza"/>
    <n v="4940"/>
    <n v="21.4"/>
    <n v="4.0999999999999996"/>
    <n v="19"/>
    <n v="5"/>
    <n v="18"/>
    <n v="1710"/>
    <n v="6.52"/>
    <n v="1703.48"/>
  </r>
  <r>
    <s v="2AC5C594"/>
    <m/>
    <m/>
    <s v="CUST3059"/>
    <s v="Priya Garcia"/>
    <s v="Brazil"/>
    <s v="Ankara"/>
    <s v="Chinese"/>
    <s v="Masala Dosa"/>
    <n v="2966"/>
    <n v="45.83"/>
    <n v="3"/>
    <n v="36.24"/>
    <n v="4"/>
    <n v="2"/>
    <n v="289.92"/>
    <n v="7.32"/>
    <n v="282.60000000000002"/>
  </r>
  <r>
    <s v="A556C5DA"/>
    <m/>
    <m/>
    <s v="CUST2314"/>
    <s v="John Singh"/>
    <s v="Philippines"/>
    <s v="Ankara"/>
    <s v="Chinese"/>
    <s v="Fried Rice"/>
    <n v="4585"/>
    <n v="21.5"/>
    <n v="4.0999999999999996"/>
    <n v="22.55"/>
    <n v="4"/>
    <n v="11"/>
    <n v="992.2"/>
    <n v="2.79"/>
    <n v="989.41"/>
  </r>
  <r>
    <s v="2A4031EE"/>
    <m/>
    <m/>
    <s v="CUST3558"/>
    <s v="David Taylor"/>
    <s v="New Zealand"/>
    <s v="Ankara"/>
    <s v="Chinese"/>
    <s v="Paneer Tikka"/>
    <n v="4387"/>
    <n v="48.74"/>
    <n v="3"/>
    <n v="25.87"/>
    <n v="2"/>
    <n v="1"/>
    <n v="51.74"/>
    <n v="4.29"/>
    <n v="47.45"/>
  </r>
  <r>
    <s v="9737AD5D"/>
    <m/>
    <m/>
    <s v="CUST6794"/>
    <s v="Sara Garcia"/>
    <s v="India"/>
    <s v="Ankara"/>
    <s v="Cafe"/>
    <s v="Tandoori Roti"/>
    <n v="2612"/>
    <n v="28.14"/>
    <n v="2.9"/>
    <n v="30.98"/>
    <n v="3"/>
    <n v="20"/>
    <n v="1858.8"/>
    <n v="9.5299999999999994"/>
    <n v="1849.27"/>
  </r>
  <r>
    <s v="89FC30F4"/>
    <m/>
    <m/>
    <s v="CUST2015"/>
    <s v="Priya Khan"/>
    <s v="Brazil"/>
    <s v="Ankara"/>
    <s v="Cafe"/>
    <s v="Tandoori Roti"/>
    <n v="3312"/>
    <n v="13.45"/>
    <n v="2.9"/>
    <n v="38.200000000000003"/>
    <n v="2"/>
    <n v="7"/>
    <n v="534.80000000000007"/>
    <n v="9.86"/>
    <n v="524.94000000000005"/>
  </r>
  <r>
    <s v="5C99243B"/>
    <m/>
    <m/>
    <s v="CUST6766"/>
    <s v="Kumar Taylor"/>
    <s v="India"/>
    <s v="Ankara"/>
    <s v="Chinese"/>
    <s v="Cheeseburger"/>
    <n v="766"/>
    <n v="29.36"/>
    <n v="2"/>
    <n v="14.64"/>
    <n v="5"/>
    <n v="14"/>
    <n v="1024.8"/>
    <n v="3.51"/>
    <n v="1021.29"/>
  </r>
  <r>
    <s v="E82E561C"/>
    <m/>
    <m/>
    <s v="CUST9453"/>
    <s v="David Khan"/>
    <s v="Australia"/>
    <s v="Ankara"/>
    <s v="North Indian, Mughlai"/>
    <s v="Cheeseburger"/>
    <n v="3996"/>
    <n v="31.73"/>
    <n v="3.7"/>
    <n v="21.33"/>
    <n v="3"/>
    <n v="16"/>
    <n v="1023.8399999999999"/>
    <n v="7.35"/>
    <n v="1016.49"/>
  </r>
  <r>
    <s v="B6B2484E"/>
    <m/>
    <m/>
    <s v="CUST7499"/>
    <s v="Sara Garcia"/>
    <s v="Philippines"/>
    <s v="Ankara"/>
    <s v="North Indian, Mughlai"/>
    <s v="Paneer Tikka"/>
    <n v="1967"/>
    <n v="16"/>
    <n v="2.1"/>
    <n v="24"/>
    <n v="3"/>
    <n v="19"/>
    <n v="1368"/>
    <n v="9.98"/>
    <n v="1358.02"/>
  </r>
  <r>
    <s v="B6AB3941"/>
    <m/>
    <m/>
    <s v="CUST7362"/>
    <s v="John Das"/>
    <s v="Australia"/>
    <s v="Athens"/>
    <s v="North Indian, Chinese"/>
    <s v="Cheeseburger"/>
    <n v="3739"/>
    <n v="9.86"/>
    <n v="3.6"/>
    <n v="7.16"/>
    <n v="5"/>
    <n v="10"/>
    <n v="358"/>
    <n v="5.39"/>
    <n v="352.61"/>
  </r>
  <r>
    <s v="38B827FE"/>
    <m/>
    <m/>
    <s v="CUST4736"/>
    <s v="Anita Brown"/>
    <s v="Australia"/>
    <s v="Athens"/>
    <s v="Cafe"/>
    <s v="Margherita Pizza"/>
    <n v="932"/>
    <n v="48.36"/>
    <n v="4.8"/>
    <n v="28.33"/>
    <n v="3"/>
    <n v="5"/>
    <n v="424.95"/>
    <n v="6.68"/>
    <n v="418.27"/>
  </r>
  <r>
    <s v="E14A4384"/>
    <m/>
    <m/>
    <s v="CUST1384"/>
    <s v="Ravi Patel"/>
    <s v="Australia"/>
    <s v="Athens"/>
    <s v="North Indian, Chinese"/>
    <s v="Pasta Alfredo"/>
    <n v="2438"/>
    <n v="5.5"/>
    <n v="4.2"/>
    <n v="19.73"/>
    <n v="5"/>
    <n v="1"/>
    <n v="98.65"/>
    <n v="8.11"/>
    <n v="90.54"/>
  </r>
  <r>
    <s v="4F7C1CCA"/>
    <m/>
    <m/>
    <s v="CUST1634"/>
    <s v="Sara Smith"/>
    <s v="India"/>
    <s v="Athens"/>
    <s v="North Indian, Chinese"/>
    <s v="Tandoori Roti"/>
    <n v="3294"/>
    <n v="7.22"/>
    <n v="3.2"/>
    <n v="13.61"/>
    <n v="3"/>
    <n v="6"/>
    <n v="244.98"/>
    <n v="3.31"/>
    <n v="241.67"/>
  </r>
  <r>
    <s v="9ABDEE24"/>
    <m/>
    <m/>
    <s v="CUST9860"/>
    <s v="David Sharma"/>
    <s v="Brazil"/>
    <s v="Athens"/>
    <s v="North Indian, Chinese"/>
    <s v="Grilled Sandwich"/>
    <n v="1819"/>
    <n v="25.06"/>
    <n v="1.9"/>
    <n v="13.53"/>
    <n v="1"/>
    <n v="12"/>
    <n v="162.35999999999999"/>
    <n v="6.01"/>
    <n v="156.35"/>
  </r>
  <r>
    <s v="9F36A4F6"/>
    <m/>
    <m/>
    <s v="CUST5378"/>
    <s v="Sophia Khan"/>
    <s v="New Zealand"/>
    <s v="Athens"/>
    <s v="North Indian, Mughlai"/>
    <s v="Butter Chicken"/>
    <n v="3226"/>
    <n v="44.54"/>
    <n v="2.5"/>
    <n v="32.450000000000003"/>
    <n v="1"/>
    <n v="16"/>
    <n v="519.20000000000005"/>
    <n v="3.22"/>
    <n v="515.98"/>
  </r>
  <r>
    <s v="373D2839"/>
    <m/>
    <m/>
    <s v="CUST9559"/>
    <s v="Priya Khan"/>
    <s v="South Africa"/>
    <s v="Athens"/>
    <s v="North Indian"/>
    <s v="Sushi Platter"/>
    <n v="4612"/>
    <n v="19.579999999999998"/>
    <n v="4.5"/>
    <n v="5.68"/>
    <n v="2"/>
    <n v="2"/>
    <n v="22.72"/>
    <n v="7.18"/>
    <n v="15.54"/>
  </r>
  <r>
    <s v="7A9C2A27"/>
    <m/>
    <m/>
    <s v="CUST8670"/>
    <s v="Emily Garcia"/>
    <s v="Qatar"/>
    <s v="Auckland"/>
    <s v="North Indian, Chinese"/>
    <s v="Tandoori Roti"/>
    <n v="892"/>
    <n v="45.48"/>
    <n v="2.2999999999999998"/>
    <n v="32"/>
    <n v="5"/>
    <n v="17"/>
    <n v="2720"/>
    <n v="2.4"/>
    <n v="2717.6"/>
  </r>
  <r>
    <s v="07C963AD"/>
    <m/>
    <m/>
    <s v="CUST8037"/>
    <s v="Ravi Khan"/>
    <s v="India"/>
    <s v="Auckland"/>
    <s v="Cafe"/>
    <s v="Momos"/>
    <n v="1403"/>
    <n v="6.14"/>
    <n v="2.6"/>
    <n v="37.69"/>
    <n v="5"/>
    <n v="5"/>
    <n v="942.25"/>
    <n v="4.71"/>
    <n v="937.54"/>
  </r>
  <r>
    <s v="281E17F0"/>
    <m/>
    <m/>
    <s v="CUST5882"/>
    <s v="David Lee"/>
    <s v="Philippines"/>
    <s v="Auckland"/>
    <s v="Cafe"/>
    <s v="Margherita Pizza"/>
    <n v="1921"/>
    <n v="14.05"/>
    <n v="3"/>
    <n v="32.17"/>
    <n v="2"/>
    <n v="3"/>
    <n v="193.02"/>
    <n v="1.36"/>
    <n v="191.66"/>
  </r>
  <r>
    <s v="CD831111"/>
    <m/>
    <m/>
    <s v="CUST5028"/>
    <s v="Ravi Garcia"/>
    <s v="Australia"/>
    <s v="Auckland"/>
    <s v="Cafe"/>
    <s v="Tandoori Roti"/>
    <n v="3355"/>
    <n v="10.55"/>
    <n v="3.6"/>
    <n v="23.1"/>
    <n v="3"/>
    <n v="17"/>
    <n v="1178.1000000000001"/>
    <n v="7.85"/>
    <n v="1170.25"/>
  </r>
  <r>
    <s v="DEBB0D61"/>
    <m/>
    <m/>
    <s v="CUST4831"/>
    <s v="Sophia Taylor"/>
    <s v="New Zealand"/>
    <s v="Auckland"/>
    <s v="North Indian, Chinese"/>
    <s v="Momos"/>
    <n v="1855"/>
    <n v="21.47"/>
    <n v="2.2000000000000002"/>
    <n v="23.78"/>
    <n v="3"/>
    <n v="18"/>
    <n v="1284.1200000000001"/>
    <n v="7.72"/>
    <n v="1276.4000000000001"/>
  </r>
  <r>
    <s v="5D44D3F7"/>
    <m/>
    <m/>
    <s v="CUST9700"/>
    <s v="John Sharma"/>
    <s v="New Zealand"/>
    <s v="Auckland"/>
    <s v="North Indian, Chinese"/>
    <s v="Veg Biryani"/>
    <n v="4384"/>
    <n v="46.53"/>
    <n v="2.2000000000000002"/>
    <n v="22.85"/>
    <n v="4"/>
    <n v="11"/>
    <n v="1005.4000000000001"/>
    <n v="8.4"/>
    <n v="997"/>
  </r>
  <r>
    <s v="00C016C8"/>
    <m/>
    <m/>
    <s v="CUST2907"/>
    <s v="Kumar Lee"/>
    <s v="Indonesia"/>
    <s v="Auckland"/>
    <s v="North Indian, Chinese"/>
    <s v="Veg Biryani"/>
    <n v="2468"/>
    <n v="44.6"/>
    <n v="3"/>
    <n v="19.38"/>
    <n v="4"/>
    <n v="3"/>
    <n v="232.56"/>
    <n v="2.11"/>
    <n v="230.45"/>
  </r>
  <r>
    <s v="DB683564"/>
    <m/>
    <m/>
    <s v="CUST1751"/>
    <s v="John Sharma"/>
    <s v="New Zealand"/>
    <s v="Abu Dhabi"/>
    <s v="North Indian, Chinese"/>
    <s v="Pasta Alfredo"/>
    <n v="125"/>
    <n v="48.68"/>
    <n v="1"/>
    <n v="37.56"/>
    <n v="5"/>
    <n v="10"/>
    <n v="1878"/>
    <n v="5.98"/>
    <n v="1872.02"/>
  </r>
  <r>
    <s v="892EAC36"/>
    <m/>
    <m/>
    <s v="CUST8112"/>
    <s v="Emily Patel"/>
    <s v="Qatar"/>
    <s v="Abu Dhabi"/>
    <s v="Cafe"/>
    <s v="Momos"/>
    <n v="1119"/>
    <n v="29.71"/>
    <n v="3.5"/>
    <n v="21.35"/>
    <n v="4"/>
    <n v="1"/>
    <n v="85.4"/>
    <n v="9.9499999999999993"/>
    <n v="75.45"/>
  </r>
  <r>
    <s v="E673E9DB"/>
    <m/>
    <m/>
    <s v="CUST1923"/>
    <s v="David Brown"/>
    <s v="Qatar"/>
    <s v="Abu Dhabi"/>
    <s v="North Indian, Mughlai"/>
    <s v="Veg Biryani"/>
    <n v="3686"/>
    <n v="8.32"/>
    <n v="4.7"/>
    <n v="21.35"/>
    <n v="2"/>
    <n v="6"/>
    <n v="256.20000000000005"/>
    <n v="3.75"/>
    <n v="252.45"/>
  </r>
  <r>
    <s v="37D39265"/>
    <m/>
    <m/>
    <s v="CUST8046"/>
    <s v="Emily Taylor"/>
    <s v="Philippines"/>
    <s v="Abu Dhabi"/>
    <s v="Cafe"/>
    <s v="Cheeseburger"/>
    <n v="3303"/>
    <n v="25.7"/>
    <n v="1.9"/>
    <n v="30.91"/>
    <n v="5"/>
    <n v="3"/>
    <n v="463.65000000000003"/>
    <n v="7.99"/>
    <n v="455.66"/>
  </r>
  <r>
    <s v="4A3EF56D"/>
    <m/>
    <m/>
    <s v="CUST3614"/>
    <s v="Sara Singh"/>
    <s v="New Zealand"/>
    <s v="Abu Dhabi"/>
    <s v="North Indian, Chinese"/>
    <s v="Veg Biryani"/>
    <n v="4996"/>
    <n v="13.19"/>
    <n v="2.5"/>
    <n v="37.97"/>
    <n v="4"/>
    <n v="16"/>
    <n v="2430.08"/>
    <n v="7.55"/>
    <n v="2422.5300000000002"/>
  </r>
  <r>
    <s v="2A3917A8"/>
    <m/>
    <m/>
    <s v="CUST5534"/>
    <s v="Kumar Lee"/>
    <s v="Qatar"/>
    <s v="Abu Dhabi"/>
    <s v="North Indian"/>
    <s v="Masala Dosa"/>
    <n v="2242"/>
    <n v="37.69"/>
    <n v="1.4"/>
    <n v="31.75"/>
    <n v="3"/>
    <n v="2"/>
    <n v="190.5"/>
    <n v="5.41"/>
    <n v="185.09"/>
  </r>
  <r>
    <s v="36A74B40"/>
    <m/>
    <m/>
    <s v="CUST1551"/>
    <s v="Kumar Garcia"/>
    <s v="Qatar"/>
    <s v="Agra"/>
    <s v="North Indian, Chinese"/>
    <s v="Sushi Platter"/>
    <n v="2830"/>
    <n v="22.59"/>
    <n v="2.2999999999999998"/>
    <n v="21.3"/>
    <n v="3"/>
    <n v="20"/>
    <n v="1278"/>
    <n v="4.49"/>
    <n v="1273.51"/>
  </r>
  <r>
    <s v="4B8C9E94"/>
    <m/>
    <m/>
    <s v="CUST3885"/>
    <s v="Sophia Garcia"/>
    <s v="Singapore"/>
    <s v="Agra"/>
    <s v="North Indian"/>
    <s v="Grilled Sandwich"/>
    <n v="4296"/>
    <n v="16.59"/>
    <n v="2"/>
    <n v="24.02"/>
    <n v="5"/>
    <n v="8"/>
    <n v="960.8"/>
    <n v="6.2"/>
    <n v="954.6"/>
  </r>
  <r>
    <s v="417BB02A"/>
    <m/>
    <m/>
    <s v="CUST6014"/>
    <s v="Priya Sharma"/>
    <s v="New Zealand"/>
    <s v="Agra"/>
    <s v="North Indian, Chinese"/>
    <s v="Chicken Biryani"/>
    <n v="4363"/>
    <n v="24.04"/>
    <n v="2.5"/>
    <n v="27.59"/>
    <n v="5"/>
    <n v="5"/>
    <n v="689.75"/>
    <n v="7.57"/>
    <n v="682.18"/>
  </r>
  <r>
    <s v="A776BA2A"/>
    <m/>
    <m/>
    <s v="CUST2676"/>
    <s v="Emily Smith"/>
    <s v="India"/>
    <s v="Agra"/>
    <s v="Cafe"/>
    <s v="Tandoori Roti"/>
    <n v="4577"/>
    <n v="25.27"/>
    <n v="1.4"/>
    <n v="32.07"/>
    <n v="5"/>
    <n v="20"/>
    <n v="3207"/>
    <n v="0.56000000000000005"/>
    <n v="3206.44"/>
  </r>
  <r>
    <s v="C991B287"/>
    <m/>
    <m/>
    <s v="CUST1886"/>
    <s v="Sara Smith"/>
    <s v="Canada"/>
    <s v="Agra"/>
    <s v="North Indian, Mughlai"/>
    <s v="Spring Rolls"/>
    <n v="1679"/>
    <n v="17.12"/>
    <n v="3.5"/>
    <n v="30.02"/>
    <n v="3"/>
    <n v="15"/>
    <n v="1350.9"/>
    <n v="0.86"/>
    <n v="1350.04"/>
  </r>
  <r>
    <s v="7FD22CBA"/>
    <m/>
    <m/>
    <s v="CUST8376"/>
    <s v="Ravi Das"/>
    <s v="Canada"/>
    <s v="Agra"/>
    <s v="North Indian"/>
    <s v="Pasta Alfredo"/>
    <n v="3739"/>
    <n v="25.11"/>
    <n v="4.0999999999999996"/>
    <n v="22.53"/>
    <n v="5"/>
    <n v="20"/>
    <n v="2253"/>
    <n v="8.25"/>
    <n v="2244.75"/>
  </r>
  <r>
    <s v="A75D78D6"/>
    <m/>
    <m/>
    <s v="CUST9985"/>
    <s v="Kumar Brown"/>
    <s v="Brazil"/>
    <s v="Agra"/>
    <s v="North Indian"/>
    <s v="Chicken Biryani"/>
    <n v="4336"/>
    <n v="22.65"/>
    <n v="3.1"/>
    <n v="5.73"/>
    <n v="2"/>
    <n v="6"/>
    <n v="68.760000000000005"/>
    <n v="2"/>
    <n v="66.760000000000005"/>
  </r>
  <r>
    <s v="3B7BE138"/>
    <m/>
    <m/>
    <s v="CUST2998"/>
    <s v="Kumar Lee"/>
    <s v="India"/>
    <s v="Agra"/>
    <s v="Cafe"/>
    <s v="Pasta Alfredo"/>
    <n v="1399"/>
    <n v="5.04"/>
    <n v="2.7"/>
    <n v="24.77"/>
    <n v="5"/>
    <n v="3"/>
    <n v="371.54999999999995"/>
    <n v="2.14"/>
    <n v="369.41"/>
  </r>
  <r>
    <s v="E76E682D"/>
    <m/>
    <m/>
    <s v="CUST8805"/>
    <s v="Ahmed Brown"/>
    <s v="New Zealand"/>
    <s v="Agra"/>
    <s v="Cafe"/>
    <s v="Masala Dosa"/>
    <n v="2598"/>
    <n v="10.76"/>
    <n v="1.6"/>
    <n v="15.14"/>
    <n v="5"/>
    <n v="19"/>
    <n v="1438.3"/>
    <n v="4.4800000000000004"/>
    <n v="1433.82"/>
  </r>
  <r>
    <s v="29DC4E30"/>
    <m/>
    <m/>
    <s v="CUST7124"/>
    <s v="Kumar Smith"/>
    <s v="Brazil"/>
    <s v="Agra"/>
    <s v="Cafe"/>
    <s v="Momos"/>
    <n v="802"/>
    <n v="33.17"/>
    <n v="2.9"/>
    <n v="19.96"/>
    <n v="3"/>
    <n v="6"/>
    <n v="359.28000000000003"/>
    <n v="9.8699999999999992"/>
    <n v="349.41"/>
  </r>
  <r>
    <s v="E7CE441F"/>
    <m/>
    <m/>
    <s v="CUST2906"/>
    <s v="Kumar Lee"/>
    <s v="Canada"/>
    <s v="Ahmedabad"/>
    <s v="North Indian"/>
    <s v="Veg Biryani"/>
    <n v="940"/>
    <n v="33.590000000000003"/>
    <n v="4.5999999999999996"/>
    <n v="8.49"/>
    <n v="5"/>
    <n v="3"/>
    <n v="127.35000000000001"/>
    <n v="6.05"/>
    <n v="121.3"/>
  </r>
  <r>
    <s v="2BE3CAA5"/>
    <m/>
    <m/>
    <s v="CUST7040"/>
    <s v="David Lee"/>
    <s v="Australia"/>
    <s v="Ahmedabad"/>
    <s v="North Indian, Chinese"/>
    <s v="Butter Chicken"/>
    <n v="3755"/>
    <n v="6.01"/>
    <n v="4.7"/>
    <n v="12.46"/>
    <n v="2"/>
    <n v="17"/>
    <n v="423.64000000000004"/>
    <n v="4.6900000000000004"/>
    <n v="418.95"/>
  </r>
  <r>
    <s v="BF716B9B"/>
    <m/>
    <m/>
    <s v="CUST7676"/>
    <s v="Anita Sharma"/>
    <s v="Philippines"/>
    <s v="Ahmedabad"/>
    <s v="Chinese"/>
    <s v="Veg Biryani"/>
    <n v="2433"/>
    <n v="47.17"/>
    <n v="1.7"/>
    <n v="36.58"/>
    <n v="3"/>
    <n v="16"/>
    <n v="1755.84"/>
    <n v="2"/>
    <n v="1753.84"/>
  </r>
  <r>
    <s v="12C0AFAF"/>
    <m/>
    <m/>
    <s v="CUST5646"/>
    <s v="Kumar Singh"/>
    <s v="South Africa"/>
    <s v="Ahmedabad"/>
    <s v="Chinese"/>
    <s v="Tandoori Roti"/>
    <n v="673"/>
    <n v="29.99"/>
    <n v="4"/>
    <n v="11.9"/>
    <n v="5"/>
    <n v="20"/>
    <n v="1190"/>
    <n v="2.38"/>
    <n v="1187.6199999999999"/>
  </r>
  <r>
    <s v="A3485798"/>
    <m/>
    <m/>
    <s v="CUST1005"/>
    <s v="Sophia Lee"/>
    <s v="Canada"/>
    <s v="Ahmedabad"/>
    <s v="North Indian"/>
    <s v="Sushi Platter"/>
    <n v="1670"/>
    <n v="6.79"/>
    <n v="2.4"/>
    <n v="22.06"/>
    <n v="3"/>
    <n v="6"/>
    <n v="397.07999999999993"/>
    <n v="1.55"/>
    <n v="395.53"/>
  </r>
  <r>
    <s v="223B5568"/>
    <m/>
    <m/>
    <s v="CUST4637"/>
    <s v="John Smith"/>
    <s v="New Zealand"/>
    <s v="Albany"/>
    <s v="North Indian, Mughlai"/>
    <s v="Pasta Alfredo"/>
    <n v="4654"/>
    <n v="49.92"/>
    <n v="5"/>
    <n v="12.51"/>
    <n v="1"/>
    <n v="18"/>
    <n v="225.18"/>
    <n v="3.3"/>
    <n v="221.88"/>
  </r>
  <r>
    <s v="D3497277"/>
    <m/>
    <m/>
    <s v="CUST6162"/>
    <s v="Emily Taylor"/>
    <s v="Philippines"/>
    <s v="Albany"/>
    <s v="Chinese"/>
    <s v="Cheeseburger"/>
    <n v="3609"/>
    <n v="48.97"/>
    <n v="2.2000000000000002"/>
    <n v="12.21"/>
    <n v="1"/>
    <n v="15"/>
    <n v="183.15"/>
    <n v="4.0999999999999996"/>
    <n v="179.05"/>
  </r>
  <r>
    <s v="848FDB33"/>
    <m/>
    <m/>
    <s v="CUST1670"/>
    <s v="Ahmed Brown"/>
    <s v="Canada"/>
    <s v="Albany"/>
    <s v="North Indian, Mughlai"/>
    <s v="Pasta Alfredo"/>
    <n v="373"/>
    <n v="33.619999999999997"/>
    <n v="3.7"/>
    <n v="10.02"/>
    <n v="3"/>
    <n v="4"/>
    <n v="120.24"/>
    <n v="7.83"/>
    <n v="112.41"/>
  </r>
  <r>
    <s v="0708CBBF"/>
    <m/>
    <m/>
    <s v="CUST1702"/>
    <s v="Kumar Singh"/>
    <s v="Philippines"/>
    <s v="Albany"/>
    <s v="Cafe"/>
    <s v="Fried Rice"/>
    <n v="3053"/>
    <n v="47.57"/>
    <n v="4.4000000000000004"/>
    <n v="33.92"/>
    <n v="4"/>
    <n v="20"/>
    <n v="2713.6000000000004"/>
    <n v="7.3"/>
    <n v="2706.3"/>
  </r>
  <r>
    <s v="4948B020"/>
    <m/>
    <m/>
    <s v="CUST5319"/>
    <s v="David Patel"/>
    <s v="India"/>
    <s v="Albany"/>
    <s v="Chinese"/>
    <s v="Paneer Tikka"/>
    <n v="1360"/>
    <n v="36.68"/>
    <n v="5"/>
    <n v="30.62"/>
    <n v="5"/>
    <n v="18"/>
    <n v="2755.7999999999997"/>
    <n v="2.88"/>
    <n v="2752.92"/>
  </r>
  <r>
    <s v="75A12811"/>
    <m/>
    <m/>
    <s v="CUST4607"/>
    <s v="Sara Taylor"/>
    <s v="Brazil"/>
    <s v="Albany"/>
    <s v="Cafe"/>
    <s v="Pasta Alfredo"/>
    <n v="4970"/>
    <n v="28.42"/>
    <n v="3.9"/>
    <n v="38.93"/>
    <n v="5"/>
    <n v="18"/>
    <n v="3503.7000000000003"/>
    <n v="1.52"/>
    <n v="3502.18"/>
  </r>
  <r>
    <s v="16C12B14"/>
    <m/>
    <m/>
    <s v="CUST7965"/>
    <s v="John Singh"/>
    <s v="Brazil"/>
    <s v="Albany"/>
    <s v="North Indian, Chinese"/>
    <s v="Paneer Tikka"/>
    <n v="101"/>
    <n v="20.71"/>
    <n v="3.5"/>
    <n v="26.99"/>
    <n v="2"/>
    <n v="8"/>
    <n v="431.84"/>
    <n v="0.41"/>
    <n v="431.43"/>
  </r>
  <r>
    <s v="B0763920"/>
    <m/>
    <m/>
    <s v="CUST6170"/>
    <s v="Ravi Khan"/>
    <s v="Indonesia"/>
    <s v="Albany"/>
    <s v="Chinese"/>
    <s v="Paneer Tikka"/>
    <n v="240"/>
    <n v="34.92"/>
    <n v="1.1000000000000001"/>
    <n v="29.76"/>
    <n v="2"/>
    <n v="17"/>
    <n v="1011.84"/>
    <n v="1.46"/>
    <n v="1010.38"/>
  </r>
  <r>
    <s v="E5FCEA3A"/>
    <m/>
    <m/>
    <s v="CUST6284"/>
    <s v="Sara Smith"/>
    <s v="Canada"/>
    <s v="Albany"/>
    <s v="North Indian"/>
    <s v="Butter Chicken"/>
    <n v="1387"/>
    <n v="37.49"/>
    <n v="3.4"/>
    <n v="28.23"/>
    <n v="4"/>
    <n v="2"/>
    <n v="225.84"/>
    <n v="1.02"/>
    <n v="224.82"/>
  </r>
  <r>
    <s v="9132C8BB"/>
    <m/>
    <m/>
    <s v="CUST1023"/>
    <s v="Kumar Patel"/>
    <s v="India"/>
    <s v="Albany"/>
    <s v="North Indian, Mughlai"/>
    <s v="Margherita Pizza"/>
    <n v="4688"/>
    <n v="7.09"/>
    <n v="1.1000000000000001"/>
    <n v="17.72"/>
    <n v="5"/>
    <n v="6"/>
    <n v="531.59999999999991"/>
    <n v="3.82"/>
    <n v="527.78"/>
  </r>
  <r>
    <s v="452F5DDD"/>
    <m/>
    <m/>
    <s v="CUST2728"/>
    <s v="Anita Khan"/>
    <s v="Indonesia"/>
    <s v="Allahabad"/>
    <s v="North Indian"/>
    <s v="Momos"/>
    <n v="222"/>
    <n v="30.62"/>
    <n v="2.5"/>
    <n v="30.47"/>
    <n v="1"/>
    <n v="18"/>
    <n v="548.46"/>
    <n v="6.03"/>
    <n v="542.42999999999995"/>
  </r>
  <r>
    <s v="0B42BFE8"/>
    <m/>
    <m/>
    <s v="CUST6729"/>
    <s v="Sophia Smith"/>
    <s v="Philippines"/>
    <s v="Allahabad"/>
    <s v="Cafe"/>
    <s v="Momos"/>
    <n v="4438"/>
    <n v="13.42"/>
    <n v="4.5999999999999996"/>
    <n v="32.69"/>
    <n v="3"/>
    <n v="14"/>
    <n v="1372.98"/>
    <n v="0.36"/>
    <n v="1372.62"/>
  </r>
  <r>
    <s v="1E3D9509"/>
    <m/>
    <m/>
    <s v="CUST9490"/>
    <s v="Anita Patel"/>
    <s v="Philippines"/>
    <s v="Allahabad"/>
    <s v="North Indian"/>
    <s v="Shawarma"/>
    <n v="794"/>
    <n v="12.87"/>
    <n v="1.3"/>
    <n v="37.909999999999997"/>
    <n v="4"/>
    <n v="15"/>
    <n v="2274.6"/>
    <n v="8.9499999999999993"/>
    <n v="2265.65"/>
  </r>
  <r>
    <s v="A9324ABB"/>
    <m/>
    <m/>
    <s v="CUST9698"/>
    <s v="Ravi Khan"/>
    <s v="Canada"/>
    <s v="Allahabad"/>
    <s v="North Indian, Mughlai"/>
    <s v="Sushi Platter"/>
    <n v="821"/>
    <n v="28.23"/>
    <n v="1.9"/>
    <n v="17.59"/>
    <n v="4"/>
    <n v="20"/>
    <n v="1407.2"/>
    <n v="1.8"/>
    <n v="1405.4"/>
  </r>
  <r>
    <s v="EEDA1B8C"/>
    <m/>
    <m/>
    <s v="CUST2390"/>
    <s v="Anita Garcia"/>
    <s v="India"/>
    <s v="Allahabad"/>
    <s v="North Indian"/>
    <s v="Veg Biryani"/>
    <n v="3841"/>
    <n v="6.34"/>
    <n v="1.9"/>
    <n v="37.07"/>
    <n v="4"/>
    <n v="12"/>
    <n v="1779.3600000000001"/>
    <n v="0.1"/>
    <n v="1779.26"/>
  </r>
  <r>
    <s v="17A472AB"/>
    <m/>
    <m/>
    <s v="CUST9651"/>
    <s v="John Sharma"/>
    <s v="South Africa"/>
    <s v="Allahabad"/>
    <s v="Chinese"/>
    <s v="Pasta Alfredo"/>
    <n v="2715"/>
    <n v="22.09"/>
    <n v="3.3"/>
    <n v="39.46"/>
    <n v="3"/>
    <n v="5"/>
    <n v="591.9"/>
    <n v="1.3"/>
    <n v="590.6"/>
  </r>
  <r>
    <s v="0801A213"/>
    <m/>
    <m/>
    <s v="CUST2927"/>
    <s v="Anita Lee"/>
    <s v="Australia"/>
    <s v="Allahabad"/>
    <s v="North Indian"/>
    <s v="Sushi Platter"/>
    <n v="712"/>
    <n v="27.12"/>
    <n v="4.0999999999999996"/>
    <n v="33.630000000000003"/>
    <n v="5"/>
    <n v="11"/>
    <n v="1849.65"/>
    <n v="8.18"/>
    <n v="1841.47"/>
  </r>
  <r>
    <s v="1B1E9FFB"/>
    <m/>
    <m/>
    <s v="CUST5234"/>
    <s v="Sophia Sharma"/>
    <s v="Qatar"/>
    <s v="Allahabad"/>
    <s v="Cafe"/>
    <s v="Fried Rice"/>
    <n v="1177"/>
    <n v="18.350000000000001"/>
    <n v="3.9"/>
    <n v="38.799999999999997"/>
    <n v="4"/>
    <n v="14"/>
    <n v="2172.7999999999997"/>
    <n v="1.52"/>
    <n v="2171.2800000000002"/>
  </r>
  <r>
    <s v="4A718822"/>
    <m/>
    <m/>
    <s v="CUST5985"/>
    <s v="Sophia Brown"/>
    <s v="South Africa"/>
    <s v="Amritsar"/>
    <s v="North Indian, Chinese"/>
    <s v="Tandoori Roti"/>
    <n v="1802"/>
    <n v="8.58"/>
    <n v="2.6"/>
    <n v="19.22"/>
    <n v="3"/>
    <n v="15"/>
    <n v="864.9"/>
    <n v="6.8"/>
    <n v="858.1"/>
  </r>
  <r>
    <s v="CEB3F081"/>
    <m/>
    <m/>
    <s v="CUST4038"/>
    <s v="Anita Lee"/>
    <s v="South Africa"/>
    <s v="Amritsar"/>
    <s v="North Indian, Chinese"/>
    <s v="Shawarma"/>
    <n v="1608"/>
    <n v="19.21"/>
    <n v="2.1"/>
    <n v="35.61"/>
    <n v="2"/>
    <n v="14"/>
    <n v="997.07999999999993"/>
    <n v="9.8800000000000008"/>
    <n v="987.2"/>
  </r>
  <r>
    <s v="980F1AF9"/>
    <m/>
    <m/>
    <s v="CUST9910"/>
    <s v="Ravi Sharma"/>
    <s v="Canada"/>
    <s v="Amritsar"/>
    <s v="Cafe"/>
    <s v="Grilled Sandwich"/>
    <n v="601"/>
    <n v="10.59"/>
    <n v="1.4"/>
    <n v="12.88"/>
    <n v="4"/>
    <n v="1"/>
    <n v="51.52"/>
    <n v="3.39"/>
    <n v="48.13"/>
  </r>
  <r>
    <s v="15AB2129"/>
    <m/>
    <m/>
    <s v="CUST9460"/>
    <s v="Sophia Sharma"/>
    <s v="Qatar"/>
    <s v="Amritsar"/>
    <s v="North Indian, Mughlai"/>
    <s v="Cheeseburger"/>
    <n v="3511"/>
    <n v="20.86"/>
    <n v="1.2"/>
    <n v="37.92"/>
    <n v="3"/>
    <n v="18"/>
    <n v="2047.68"/>
    <n v="2.59"/>
    <n v="2045.09"/>
  </r>
  <r>
    <s v="773478BB"/>
    <m/>
    <m/>
    <s v="CUST6955"/>
    <s v="Emily Taylor"/>
    <s v="New Zealand"/>
    <s v="Amritsar"/>
    <s v="North Indian, Mughlai"/>
    <s v="Tandoori Roti"/>
    <n v="557"/>
    <n v="46.07"/>
    <n v="3.9"/>
    <n v="38.76"/>
    <n v="1"/>
    <n v="15"/>
    <n v="581.4"/>
    <n v="0.23"/>
    <n v="581.16999999999996"/>
  </r>
  <r>
    <s v="0D841DE7"/>
    <m/>
    <m/>
    <s v="CUST9645"/>
    <s v="Sophia Brown"/>
    <s v="Australia"/>
    <s v="Amritsar"/>
    <s v="North Indian, Mughlai"/>
    <s v="Fried Rice"/>
    <n v="3900"/>
    <n v="17.43"/>
    <n v="4.3"/>
    <n v="17.399999999999999"/>
    <n v="2"/>
    <n v="16"/>
    <n v="556.79999999999995"/>
    <n v="7.68"/>
    <n v="549.12"/>
  </r>
  <r>
    <s v="4999E610"/>
    <m/>
    <m/>
    <s v="CUST2099"/>
    <s v="Sophia Sharma"/>
    <s v="Australia"/>
    <s v="Amritsar"/>
    <s v="North Indian"/>
    <s v="Veg Biryani"/>
    <n v="3228"/>
    <n v="24.26"/>
    <n v="1.2"/>
    <n v="25.81"/>
    <n v="1"/>
    <n v="14"/>
    <n v="361.34"/>
    <n v="9.31"/>
    <n v="352.03"/>
  </r>
  <r>
    <s v="0D42F5B8"/>
    <m/>
    <m/>
    <s v="CUST1757"/>
    <s v="Ravi Patel"/>
    <s v="Indonesia"/>
    <s v="Amritsar"/>
    <s v="North Indian"/>
    <s v="Tandoori Roti"/>
    <n v="4634"/>
    <n v="38.42"/>
    <n v="1.3"/>
    <n v="11.67"/>
    <n v="4"/>
    <n v="8"/>
    <n v="373.44"/>
    <n v="2.38"/>
    <n v="371.06"/>
  </r>
  <r>
    <s v="A29D61B5"/>
    <m/>
    <m/>
    <s v="CUST5343"/>
    <s v="Ravi Lee"/>
    <s v="Philippines"/>
    <s v="Ankara"/>
    <s v="Cafe"/>
    <s v="Spring Rolls"/>
    <n v="1360"/>
    <n v="28.92"/>
    <n v="1"/>
    <n v="11.35"/>
    <n v="1"/>
    <n v="15"/>
    <n v="170.25"/>
    <n v="1.9"/>
    <n v="168.35"/>
  </r>
  <r>
    <s v="5CFAE48E"/>
    <m/>
    <m/>
    <s v="CUST5065"/>
    <s v="Kumar Smith"/>
    <s v="Qatar"/>
    <s v="Ankara"/>
    <s v="North Indian"/>
    <s v="Margherita Pizza"/>
    <n v="69"/>
    <n v="5.54"/>
    <n v="2.2999999999999998"/>
    <n v="5.41"/>
    <n v="3"/>
    <n v="17"/>
    <n v="275.91000000000003"/>
    <n v="0.88"/>
    <n v="275.02999999999997"/>
  </r>
  <r>
    <s v="A6902C68"/>
    <m/>
    <m/>
    <s v="CUST9830"/>
    <s v="Emily Singh"/>
    <s v="Canada"/>
    <s v="Ankara"/>
    <s v="Chinese"/>
    <s v="Fried Rice"/>
    <n v="2106"/>
    <n v="45.15"/>
    <n v="2.2999999999999998"/>
    <n v="11.64"/>
    <n v="4"/>
    <n v="13"/>
    <n v="605.28"/>
    <n v="0.02"/>
    <n v="605.26"/>
  </r>
  <r>
    <s v="329F9FD5"/>
    <m/>
    <m/>
    <s v="CUST1587"/>
    <s v="Kumar Brown"/>
    <s v="Philippines"/>
    <s v="Ankara"/>
    <s v="Cafe"/>
    <s v="Paneer Tikka"/>
    <n v="3678"/>
    <n v="9.8699999999999992"/>
    <n v="1.4"/>
    <n v="22.11"/>
    <n v="3"/>
    <n v="5"/>
    <n v="331.65"/>
    <n v="0.96"/>
    <n v="330.69"/>
  </r>
  <r>
    <s v="BC76D800"/>
    <m/>
    <m/>
    <s v="CUST4524"/>
    <s v="Priya Lee"/>
    <s v="Australia"/>
    <s v="Ankara"/>
    <s v="North Indian"/>
    <s v="Grilled Sandwich"/>
    <n v="3463"/>
    <n v="6.66"/>
    <n v="4.0999999999999996"/>
    <n v="35.81"/>
    <n v="5"/>
    <n v="17"/>
    <n v="3043.8500000000004"/>
    <n v="3.79"/>
    <n v="3040.06"/>
  </r>
  <r>
    <s v="B6C40CE9"/>
    <m/>
    <m/>
    <s v="CUST8086"/>
    <s v="Priya Taylor"/>
    <s v="Australia"/>
    <s v="Ankara"/>
    <s v="Chinese"/>
    <s v="Sushi Platter"/>
    <n v="4934"/>
    <n v="24.27"/>
    <n v="1.9"/>
    <n v="36.53"/>
    <n v="1"/>
    <n v="18"/>
    <n v="657.54"/>
    <n v="0.18"/>
    <n v="657.36"/>
  </r>
  <r>
    <s v="C5C2396C"/>
    <m/>
    <m/>
    <s v="CUST5208"/>
    <s v="Emily Taylor"/>
    <s v="Singapore"/>
    <s v="Ankara"/>
    <s v="North Indian, Chinese"/>
    <s v="Paneer Tikka"/>
    <n v="4172"/>
    <n v="5.67"/>
    <n v="2.5"/>
    <n v="11.45"/>
    <n v="4"/>
    <n v="8"/>
    <n v="366.4"/>
    <n v="0.7"/>
    <n v="365.7"/>
  </r>
  <r>
    <s v="D52A804C"/>
    <m/>
    <m/>
    <s v="CUST7204"/>
    <s v="John Garcia"/>
    <s v="Singapore"/>
    <s v="Ankara"/>
    <s v="North Indian"/>
    <s v="Grilled Sandwich"/>
    <n v="2399"/>
    <n v="43.91"/>
    <n v="4.3"/>
    <n v="9.91"/>
    <n v="4"/>
    <n v="16"/>
    <n v="634.24"/>
    <n v="0.99"/>
    <n v="633.25"/>
  </r>
  <r>
    <s v="15AC33BF"/>
    <m/>
    <m/>
    <s v="CUST4559"/>
    <s v="Ravi Taylor"/>
    <s v="India"/>
    <s v="Ankara"/>
    <s v="North Indian, Mughlai"/>
    <s v="Pasta Alfredo"/>
    <n v="4101"/>
    <n v="40.64"/>
    <n v="4"/>
    <n v="16.43"/>
    <n v="2"/>
    <n v="7"/>
    <n v="230.01999999999998"/>
    <n v="0.6"/>
    <n v="229.42"/>
  </r>
  <r>
    <s v="F7A0B409"/>
    <m/>
    <m/>
    <s v="CUST4196"/>
    <s v="John Das"/>
    <s v="India"/>
    <s v="Ankara"/>
    <s v="Cafe"/>
    <s v="Shawarma"/>
    <n v="4300"/>
    <n v="11.19"/>
    <n v="4.0999999999999996"/>
    <n v="29.01"/>
    <n v="2"/>
    <n v="3"/>
    <n v="174.06"/>
    <n v="2.21"/>
    <n v="171.85"/>
  </r>
  <r>
    <s v="0205AF71"/>
    <m/>
    <m/>
    <s v="CUST6580"/>
    <s v="Emily Garcia"/>
    <s v="Canada"/>
    <s v="Athens"/>
    <s v="Chinese"/>
    <s v="Paneer Tikka"/>
    <n v="1767"/>
    <n v="20.12"/>
    <n v="3.6"/>
    <n v="10.5"/>
    <n v="2"/>
    <n v="8"/>
    <n v="168"/>
    <n v="2.4300000000000002"/>
    <n v="165.57"/>
  </r>
  <r>
    <s v="BC6D7EF0"/>
    <m/>
    <m/>
    <s v="CUST8376"/>
    <s v="Kumar Taylor"/>
    <s v="Australia"/>
    <s v="Athens"/>
    <s v="North Indian, Chinese"/>
    <s v="Paneer Tikka"/>
    <n v="500"/>
    <n v="41.33"/>
    <n v="4.0999999999999996"/>
    <n v="10.65"/>
    <n v="4"/>
    <n v="7"/>
    <n v="298.2"/>
    <n v="7.89"/>
    <n v="290.31"/>
  </r>
  <r>
    <s v="7825C912"/>
    <m/>
    <m/>
    <s v="CUST5410"/>
    <s v="Anita Brown"/>
    <s v="Indonesia"/>
    <s v="Athens"/>
    <s v="North Indian, Mughlai"/>
    <s v="Pasta Alfredo"/>
    <n v="2259"/>
    <n v="12.83"/>
    <n v="3.4"/>
    <n v="27.94"/>
    <n v="1"/>
    <n v="12"/>
    <n v="335.28000000000003"/>
    <n v="1.03"/>
    <n v="334.25"/>
  </r>
  <r>
    <s v="58AD6559"/>
    <m/>
    <m/>
    <s v="CUST6546"/>
    <s v="Sara Brown"/>
    <s v="Philippines"/>
    <s v="Athens"/>
    <s v="North Indian, Mughlai"/>
    <s v="Masala Dosa"/>
    <n v="2621"/>
    <n v="11.38"/>
    <n v="1.6"/>
    <n v="15.37"/>
    <n v="5"/>
    <n v="1"/>
    <n v="76.849999999999994"/>
    <n v="0.52"/>
    <n v="76.33"/>
  </r>
  <r>
    <s v="163AF736"/>
    <m/>
    <m/>
    <s v="CUST9781"/>
    <s v="Ravi Garcia"/>
    <s v="Qatar"/>
    <s v="Athens"/>
    <s v="North Indian"/>
    <s v="Shawarma"/>
    <n v="4921"/>
    <n v="5.36"/>
    <n v="3.2"/>
    <n v="5.0999999999999996"/>
    <n v="2"/>
    <n v="2"/>
    <n v="20.399999999999999"/>
    <n v="0.59"/>
    <n v="19.809999999999999"/>
  </r>
  <r>
    <s v="B3D096C0"/>
    <m/>
    <m/>
    <s v="CUST6722"/>
    <s v="Priya Patel"/>
    <s v="New Zealand"/>
    <s v="Athens"/>
    <s v="Chinese"/>
    <s v="Pasta Alfredo"/>
    <n v="3290"/>
    <n v="34.15"/>
    <n v="1.2"/>
    <n v="33.090000000000003"/>
    <n v="1"/>
    <n v="19"/>
    <n v="628.71"/>
    <n v="2.5299999999999998"/>
    <n v="626.17999999999995"/>
  </r>
  <r>
    <s v="233FEA09"/>
    <m/>
    <m/>
    <s v="CUST3922"/>
    <s v="Emily Smith"/>
    <s v="Qatar"/>
    <s v="Athens"/>
    <s v="North Indian, Mughlai"/>
    <s v="Sushi Platter"/>
    <n v="3657"/>
    <n v="10.86"/>
    <n v="1.7"/>
    <n v="38.07"/>
    <n v="3"/>
    <n v="1"/>
    <n v="114.21000000000001"/>
    <n v="3.21"/>
    <n v="111"/>
  </r>
  <r>
    <s v="3F64CEE8"/>
    <m/>
    <m/>
    <s v="CUST8203"/>
    <s v="David Khan"/>
    <s v="Australia"/>
    <s v="Athens"/>
    <s v="Cafe"/>
    <s v="Butter Chicken"/>
    <n v="4164"/>
    <n v="28.45"/>
    <n v="3"/>
    <n v="11.07"/>
    <n v="2"/>
    <n v="1"/>
    <n v="22.14"/>
    <n v="4.28"/>
    <n v="17.86"/>
  </r>
  <r>
    <s v="D9D104BB"/>
    <m/>
    <m/>
    <s v="CUST1076"/>
    <s v="John Khan"/>
    <s v="Singapore"/>
    <s v="Athens"/>
    <s v="North Indian, Chinese"/>
    <s v="Grilled Sandwich"/>
    <n v="4781"/>
    <n v="31.99"/>
    <n v="4.0999999999999996"/>
    <n v="28.94"/>
    <n v="1"/>
    <n v="7"/>
    <n v="202.58"/>
    <n v="3.19"/>
    <n v="199.39"/>
  </r>
  <r>
    <s v="81610DE8"/>
    <m/>
    <m/>
    <s v="CUST8686"/>
    <s v="Sara Brown"/>
    <s v="New Zealand"/>
    <s v="Athens"/>
    <s v="Chinese"/>
    <s v="Cheeseburger"/>
    <n v="3648"/>
    <n v="31.17"/>
    <n v="3.3"/>
    <n v="22.64"/>
    <n v="3"/>
    <n v="8"/>
    <n v="543.36"/>
    <n v="4.5199999999999996"/>
    <n v="538.84"/>
  </r>
  <r>
    <s v="F2CF86FD"/>
    <m/>
    <m/>
    <s v="CUST5848"/>
    <s v="Priya Lee"/>
    <s v="Qatar"/>
    <s v="Athens"/>
    <s v="Chinese"/>
    <s v="Masala Dosa"/>
    <n v="2216"/>
    <n v="39.94"/>
    <n v="2.7"/>
    <n v="7.24"/>
    <n v="5"/>
    <n v="17"/>
    <n v="615.40000000000009"/>
    <n v="7.93"/>
    <n v="607.47"/>
  </r>
  <r>
    <s v="5B2BD074"/>
    <m/>
    <m/>
    <s v="CUST9542"/>
    <s v="Ahmed Brown"/>
    <s v="Indonesia"/>
    <s v="Auckland"/>
    <s v="Cafe"/>
    <s v="Fried Rice"/>
    <n v="2525"/>
    <n v="49.56"/>
    <n v="3"/>
    <n v="18.45"/>
    <n v="3"/>
    <n v="4"/>
    <n v="221.39999999999998"/>
    <n v="5.78"/>
    <n v="215.62"/>
  </r>
  <r>
    <s v="F973BC7E"/>
    <m/>
    <m/>
    <s v="CUST7761"/>
    <s v="Kumar Khan"/>
    <s v="India"/>
    <s v="Auckland"/>
    <s v="Cafe"/>
    <s v="Momos"/>
    <n v="1842"/>
    <n v="10.98"/>
    <n v="2.8"/>
    <n v="7.34"/>
    <n v="3"/>
    <n v="18"/>
    <n v="396.36"/>
    <n v="6.82"/>
    <n v="389.54"/>
  </r>
  <r>
    <s v="9FA53C7A"/>
    <m/>
    <m/>
    <s v="CUST3156"/>
    <s v="Anita Garcia"/>
    <s v="New Zealand"/>
    <s v="Auckland"/>
    <s v="Chinese"/>
    <s v="Grilled Sandwich"/>
    <n v="1138"/>
    <n v="26.42"/>
    <n v="3.3"/>
    <n v="18.12"/>
    <n v="3"/>
    <n v="1"/>
    <n v="54.36"/>
    <n v="7.51"/>
    <n v="46.85"/>
  </r>
  <r>
    <s v="9A474500"/>
    <m/>
    <m/>
    <s v="CUST3325"/>
    <s v="John Khan"/>
    <s v="Philippines"/>
    <s v="Auckland"/>
    <s v="North Indian, Mughlai"/>
    <s v="Spring Rolls"/>
    <n v="2733"/>
    <n v="13.75"/>
    <n v="4"/>
    <n v="34.340000000000003"/>
    <n v="5"/>
    <n v="20"/>
    <n v="3434.0000000000005"/>
    <n v="7.36"/>
    <n v="3426.64"/>
  </r>
  <r>
    <s v="436FA073"/>
    <m/>
    <m/>
    <s v="CUST8963"/>
    <s v="Sara Taylor"/>
    <s v="Brazil"/>
    <s v="Auckland"/>
    <s v="North Indian, Chinese"/>
    <s v="Momos"/>
    <n v="1517"/>
    <n v="14.56"/>
    <n v="4.5999999999999996"/>
    <n v="8.8800000000000008"/>
    <n v="3"/>
    <n v="3"/>
    <n v="79.92"/>
    <n v="3.29"/>
    <n v="76.63"/>
  </r>
  <r>
    <s v="43732E1C"/>
    <m/>
    <m/>
    <s v="CUST6908"/>
    <s v="David Singh"/>
    <s v="Canada"/>
    <s v="Auckland"/>
    <s v="Cafe"/>
    <s v="Veg Biryani"/>
    <n v="3183"/>
    <n v="15.8"/>
    <n v="1.8"/>
    <n v="25.74"/>
    <n v="5"/>
    <n v="14"/>
    <n v="1801.7999999999997"/>
    <n v="5.42"/>
    <n v="1796.38"/>
  </r>
  <r>
    <s v="DA56662C"/>
    <m/>
    <m/>
    <s v="CUST7913"/>
    <s v="John Garcia"/>
    <s v="Indonesia"/>
    <s v="Auckland"/>
    <s v="Chinese"/>
    <s v="Butter Chicken"/>
    <n v="4590"/>
    <n v="11.38"/>
    <n v="2.5"/>
    <n v="38.17"/>
    <n v="4"/>
    <n v="12"/>
    <n v="1832.16"/>
    <n v="1.75"/>
    <n v="1830.41"/>
  </r>
  <r>
    <s v="BD85A41A"/>
    <m/>
    <m/>
    <s v="CUST9097"/>
    <s v="Ahmed Khan"/>
    <s v="Canada"/>
    <s v="Auckland"/>
    <s v="Chinese"/>
    <s v="Grilled Sandwich"/>
    <n v="466"/>
    <n v="36.6"/>
    <n v="3.6"/>
    <n v="21.25"/>
    <n v="1"/>
    <n v="19"/>
    <n v="403.75"/>
    <n v="7.33"/>
    <n v="396.42"/>
  </r>
  <r>
    <s v="A78AF23A"/>
    <m/>
    <m/>
    <s v="CUST5685"/>
    <s v="Anita Garcia"/>
    <s v="New Zealand"/>
    <s v="Abu Dhabi"/>
    <s v="North Indian"/>
    <s v="Masala Dosa"/>
    <n v="4387"/>
    <n v="33.700000000000003"/>
    <n v="1.9"/>
    <n v="5.35"/>
    <n v="2"/>
    <n v="14"/>
    <n v="149.79999999999998"/>
    <n v="5.68"/>
    <n v="144.12"/>
  </r>
  <r>
    <s v="17A667C3"/>
    <m/>
    <m/>
    <s v="CUST5847"/>
    <s v="Sophia Patel"/>
    <s v="Canada"/>
    <s v="Abu Dhabi"/>
    <s v="North Indian"/>
    <s v="Margherita Pizza"/>
    <n v="481"/>
    <n v="28.12"/>
    <n v="4.3"/>
    <n v="33.17"/>
    <n v="3"/>
    <n v="2"/>
    <n v="199.02"/>
    <n v="7.4"/>
    <n v="191.62"/>
  </r>
  <r>
    <s v="194D2C59"/>
    <m/>
    <m/>
    <s v="CUST4706"/>
    <s v="John Patel"/>
    <s v="Brazil"/>
    <s v="Abu Dhabi"/>
    <s v="North Indian, Mughlai"/>
    <s v="Grilled Sandwich"/>
    <n v="1953"/>
    <n v="26.29"/>
    <n v="2.2000000000000002"/>
    <n v="8.23"/>
    <n v="3"/>
    <n v="2"/>
    <n v="49.38"/>
    <n v="8.68"/>
    <n v="40.700000000000003"/>
  </r>
  <r>
    <s v="E840D131"/>
    <m/>
    <m/>
    <s v="CUST7336"/>
    <s v="Ahmed Lee"/>
    <s v="Philippines"/>
    <s v="Abu Dhabi"/>
    <s v="North Indian"/>
    <s v="Momos"/>
    <n v="2250"/>
    <n v="25.33"/>
    <n v="1.6"/>
    <n v="33.82"/>
    <n v="3"/>
    <n v="9"/>
    <n v="913.1400000000001"/>
    <n v="1.5"/>
    <n v="911.64"/>
  </r>
  <r>
    <s v="212D2227"/>
    <m/>
    <m/>
    <s v="CUST6634"/>
    <s v="Priya Sharma"/>
    <s v="Australia"/>
    <s v="Abu Dhabi"/>
    <s v="Cafe"/>
    <s v="Momos"/>
    <n v="3507"/>
    <n v="46.71"/>
    <n v="3.4"/>
    <n v="12.57"/>
    <n v="3"/>
    <n v="12"/>
    <n v="452.52"/>
    <n v="4.3899999999999997"/>
    <n v="448.13"/>
  </r>
  <r>
    <s v="F876E872"/>
    <m/>
    <m/>
    <s v="CUST5350"/>
    <s v="Ahmed Sharma"/>
    <s v="Philippines"/>
    <s v="Abu Dhabi"/>
    <s v="Cafe"/>
    <s v="Grilled Sandwich"/>
    <n v="844"/>
    <n v="17.559999999999999"/>
    <n v="3.1"/>
    <n v="24.09"/>
    <n v="1"/>
    <n v="4"/>
    <n v="96.36"/>
    <n v="8.59"/>
    <n v="87.77"/>
  </r>
  <r>
    <s v="BF634557"/>
    <m/>
    <m/>
    <s v="CUST4415"/>
    <s v="Sara Das"/>
    <s v="Australia"/>
    <s v="Abu Dhabi"/>
    <s v="North Indian, Chinese"/>
    <s v="Veg Biryani"/>
    <n v="2311"/>
    <n v="16.29"/>
    <n v="4.9000000000000004"/>
    <n v="26.21"/>
    <n v="2"/>
    <n v="20"/>
    <n v="1048.4000000000001"/>
    <n v="4.22"/>
    <n v="1044.18"/>
  </r>
  <r>
    <s v="4C6D5854"/>
    <m/>
    <m/>
    <s v="CUST4766"/>
    <s v="Ravi Singh"/>
    <s v="Canada"/>
    <s v="Abu Dhabi"/>
    <s v="North Indian"/>
    <s v="Cheeseburger"/>
    <n v="293"/>
    <n v="10.91"/>
    <n v="2.2000000000000002"/>
    <n v="35.380000000000003"/>
    <n v="1"/>
    <n v="13"/>
    <n v="459.94000000000005"/>
    <n v="5.0199999999999996"/>
    <n v="454.92"/>
  </r>
  <r>
    <s v="1A647697"/>
    <m/>
    <m/>
    <s v="CUST1288"/>
    <s v="Anita Lee"/>
    <s v="Canada"/>
    <s v="Abu Dhabi"/>
    <s v="North Indian, Chinese"/>
    <s v="Fried Rice"/>
    <n v="412"/>
    <n v="23.9"/>
    <n v="3.7"/>
    <n v="33.369999999999997"/>
    <n v="5"/>
    <n v="1"/>
    <n v="166.85"/>
    <n v="9.16"/>
    <n v="157.69"/>
  </r>
  <r>
    <s v="A53AB7A0"/>
    <m/>
    <m/>
    <s v="CUST8278"/>
    <s v="Anita Sharma"/>
    <s v="New Zealand"/>
    <s v="Abu Dhabi"/>
    <s v="North Indian, Mughlai"/>
    <s v="Masala Dosa"/>
    <n v="2654"/>
    <n v="46"/>
    <n v="1.7"/>
    <n v="6.45"/>
    <n v="1"/>
    <n v="1"/>
    <n v="6.45"/>
    <n v="0.05"/>
    <n v="6.4"/>
  </r>
  <r>
    <s v="38DEC5DD"/>
    <m/>
    <m/>
    <s v="CUST1189"/>
    <s v="Emily Lee"/>
    <s v="Singapore"/>
    <s v="Abu Dhabi"/>
    <s v="North Indian"/>
    <s v="Chicken Biryani"/>
    <n v="899"/>
    <n v="44.84"/>
    <n v="1"/>
    <n v="16.03"/>
    <n v="1"/>
    <n v="5"/>
    <n v="80.150000000000006"/>
    <n v="4.7699999999999996"/>
    <n v="75.38"/>
  </r>
  <r>
    <s v="36F589C7"/>
    <m/>
    <m/>
    <s v="CUST7698"/>
    <s v="Priya Singh"/>
    <s v="South Africa"/>
    <s v="Abu Dhabi"/>
    <s v="North Indian, Chinese"/>
    <s v="Pasta Alfredo"/>
    <n v="3972"/>
    <n v="20.170000000000002"/>
    <n v="2.4"/>
    <n v="23.05"/>
    <n v="5"/>
    <n v="17"/>
    <n v="1959.25"/>
    <n v="0.57999999999999996"/>
    <n v="1958.67"/>
  </r>
  <r>
    <s v="4FE5EBE3"/>
    <m/>
    <m/>
    <s v="CUST4230"/>
    <s v="Ahmed Das"/>
    <s v="New Zealand"/>
    <s v="Agra"/>
    <s v="North Indian, Mughlai"/>
    <s v="Momos"/>
    <n v="2833"/>
    <n v="7.88"/>
    <n v="4.7"/>
    <n v="10.66"/>
    <n v="4"/>
    <n v="5"/>
    <n v="213.2"/>
    <n v="4.58"/>
    <n v="208.62"/>
  </r>
  <r>
    <s v="26F5A634"/>
    <m/>
    <m/>
    <s v="CUST9989"/>
    <s v="John Lee"/>
    <s v="Singapore"/>
    <s v="Agra"/>
    <s v="North Indian, Chinese"/>
    <s v="Fried Rice"/>
    <n v="851"/>
    <n v="49.36"/>
    <n v="1.2"/>
    <n v="38.81"/>
    <n v="4"/>
    <n v="9"/>
    <n v="1397.16"/>
    <n v="9.68"/>
    <n v="1387.48"/>
  </r>
  <r>
    <s v="F9485BE7"/>
    <m/>
    <m/>
    <s v="CUST7844"/>
    <s v="Priya Patel"/>
    <s v="Indonesia"/>
    <s v="Agra"/>
    <s v="North Indian, Mughlai"/>
    <s v="Butter Chicken"/>
    <n v="3213"/>
    <n v="10.82"/>
    <n v="2.5"/>
    <n v="18.57"/>
    <n v="5"/>
    <n v="14"/>
    <n v="1299.8999999999999"/>
    <n v="8.17"/>
    <n v="1291.73"/>
  </r>
  <r>
    <s v="5891A3F6"/>
    <m/>
    <m/>
    <s v="CUST3821"/>
    <s v="Anita Brown"/>
    <s v="New Zealand"/>
    <s v="Agra"/>
    <s v="North Indian, Chinese"/>
    <s v="Butter Chicken"/>
    <n v="4347"/>
    <n v="21.55"/>
    <n v="2.2000000000000002"/>
    <n v="23.47"/>
    <n v="2"/>
    <n v="15"/>
    <n v="704.09999999999991"/>
    <n v="1.29"/>
    <n v="702.81"/>
  </r>
  <r>
    <s v="306F15D5"/>
    <m/>
    <m/>
    <s v="CUST7009"/>
    <s v="Ravi Singh"/>
    <s v="Singapore"/>
    <s v="Agra"/>
    <s v="Cafe"/>
    <s v="Spring Rolls"/>
    <n v="2455"/>
    <n v="33.51"/>
    <n v="1.7"/>
    <n v="6.47"/>
    <n v="1"/>
    <n v="12"/>
    <n v="77.64"/>
    <n v="9.48"/>
    <n v="68.16"/>
  </r>
  <r>
    <s v="63917C69"/>
    <m/>
    <m/>
    <s v="CUST9128"/>
    <s v="Emily Taylor"/>
    <s v="Australia"/>
    <s v="Agra"/>
    <s v="North Indian"/>
    <s v="Veg Biryani"/>
    <n v="764"/>
    <n v="17.62"/>
    <n v="4.7"/>
    <n v="39.5"/>
    <n v="4"/>
    <n v="9"/>
    <n v="1422"/>
    <n v="5.98"/>
    <n v="1416.02"/>
  </r>
  <r>
    <s v="A3C32BDE"/>
    <m/>
    <m/>
    <s v="CUST2970"/>
    <s v="Anita Khan"/>
    <s v="Philippines"/>
    <s v="Agra"/>
    <s v="North Indian, Mughlai"/>
    <s v="Paneer Tikka"/>
    <n v="3202"/>
    <n v="23.59"/>
    <n v="4.4000000000000004"/>
    <n v="39.549999999999997"/>
    <n v="3"/>
    <n v="4"/>
    <n v="474.59999999999997"/>
    <n v="3.71"/>
    <n v="470.89"/>
  </r>
  <r>
    <s v="C439B27B"/>
    <m/>
    <m/>
    <s v="CUST5844"/>
    <s v="John Singh"/>
    <s v="Singapore"/>
    <s v="Agra"/>
    <s v="North Indian, Mughlai"/>
    <s v="Momos"/>
    <n v="4691"/>
    <n v="41.85"/>
    <n v="4.2"/>
    <n v="5.36"/>
    <n v="3"/>
    <n v="6"/>
    <n v="96.480000000000018"/>
    <n v="8.56"/>
    <n v="87.92"/>
  </r>
  <r>
    <s v="CF76FFAE"/>
    <m/>
    <m/>
    <s v="CUST2982"/>
    <s v="David Brown"/>
    <s v="Singapore"/>
    <s v="Agra"/>
    <s v="North Indian, Mughlai"/>
    <s v="Pasta Alfredo"/>
    <n v="650"/>
    <n v="49.71"/>
    <n v="2.2000000000000002"/>
    <n v="35.159999999999997"/>
    <n v="2"/>
    <n v="4"/>
    <n v="281.27999999999997"/>
    <n v="6.81"/>
    <n v="274.47000000000003"/>
  </r>
  <r>
    <s v="EC132DC8"/>
    <m/>
    <m/>
    <s v="CUST4772"/>
    <s v="John Smith"/>
    <s v="Singapore"/>
    <s v="Agra"/>
    <s v="Cafe"/>
    <s v="Sushi Platter"/>
    <n v="478"/>
    <n v="39.89"/>
    <n v="3.9"/>
    <n v="25.42"/>
    <n v="5"/>
    <n v="7"/>
    <n v="889.7"/>
    <n v="7.23"/>
    <n v="882.47"/>
  </r>
  <r>
    <s v="8141B9FE"/>
    <m/>
    <m/>
    <s v="CUST7704"/>
    <s v="John Khan"/>
    <s v="New Zealand"/>
    <s v="Agra"/>
    <s v="Cafe"/>
    <s v="Grilled Sandwich"/>
    <n v="3386"/>
    <n v="29.04"/>
    <n v="4.7"/>
    <n v="9.42"/>
    <n v="4"/>
    <n v="7"/>
    <n v="263.76"/>
    <n v="5.61"/>
    <n v="258.14999999999998"/>
  </r>
  <r>
    <s v="4491D4B0"/>
    <m/>
    <m/>
    <s v="CUST8426"/>
    <s v="Ravi Brown"/>
    <s v="India"/>
    <s v="Agra"/>
    <s v="Cafe"/>
    <s v="Momos"/>
    <n v="4312"/>
    <n v="19.940000000000001"/>
    <n v="1.9"/>
    <n v="16.670000000000002"/>
    <n v="3"/>
    <n v="20"/>
    <n v="1000.2"/>
    <n v="4.2699999999999996"/>
    <n v="995.93"/>
  </r>
  <r>
    <s v="09873494"/>
    <m/>
    <m/>
    <s v="CUST1499"/>
    <s v="Priya Singh"/>
    <s v="Canada"/>
    <s v="Agra"/>
    <s v="North Indian"/>
    <s v="Fried Rice"/>
    <n v="2780"/>
    <n v="8.51"/>
    <n v="2.6"/>
    <n v="15.04"/>
    <n v="2"/>
    <n v="10"/>
    <n v="300.79999999999995"/>
    <n v="8.92"/>
    <n v="291.88"/>
  </r>
  <r>
    <s v="87EC60CA"/>
    <m/>
    <m/>
    <s v="CUST2241"/>
    <s v="Kumar Patel"/>
    <s v="Indonesia"/>
    <s v="Ahmedabad"/>
    <s v="North Indian"/>
    <s v="Cheeseburger"/>
    <n v="4473"/>
    <n v="8.18"/>
    <n v="2.5"/>
    <n v="31.01"/>
    <n v="4"/>
    <n v="2"/>
    <n v="248.08"/>
    <n v="7.93"/>
    <n v="240.15"/>
  </r>
  <r>
    <s v="8C377463"/>
    <m/>
    <m/>
    <s v="CUST1742"/>
    <s v="Priya Brown"/>
    <s v="Philippines"/>
    <s v="Ahmedabad"/>
    <s v="Cafe"/>
    <s v="Shawarma"/>
    <n v="1388"/>
    <n v="39.630000000000003"/>
    <n v="3.4"/>
    <n v="35.04"/>
    <n v="5"/>
    <n v="17"/>
    <n v="2978.3999999999996"/>
    <n v="6.72"/>
    <n v="2971.68"/>
  </r>
  <r>
    <s v="D227813D"/>
    <m/>
    <m/>
    <s v="CUST7700"/>
    <s v="Sara Khan"/>
    <s v="India"/>
    <s v="Ahmedabad"/>
    <s v="North Indian, Mughlai"/>
    <s v="Masala Dosa"/>
    <n v="1575"/>
    <n v="27.46"/>
    <n v="2"/>
    <n v="15.24"/>
    <n v="5"/>
    <n v="17"/>
    <n v="1295.4000000000001"/>
    <n v="4.58"/>
    <n v="1290.82"/>
  </r>
  <r>
    <s v="FC648D50"/>
    <m/>
    <m/>
    <s v="CUST3540"/>
    <s v="Kumar Lee"/>
    <s v="Qatar"/>
    <s v="Ahmedabad"/>
    <s v="North Indian"/>
    <s v="Grilled Sandwich"/>
    <n v="1172"/>
    <n v="34.58"/>
    <n v="3.6"/>
    <n v="16.27"/>
    <n v="5"/>
    <n v="13"/>
    <n v="1057.55"/>
    <n v="8.66"/>
    <n v="1048.8900000000001"/>
  </r>
  <r>
    <s v="0C2F6C68"/>
    <m/>
    <m/>
    <s v="CUST8674"/>
    <s v="Anita Brown"/>
    <s v="Brazil"/>
    <s v="Ahmedabad"/>
    <s v="North Indian, Chinese"/>
    <s v="Butter Chicken"/>
    <n v="4645"/>
    <n v="28.64"/>
    <n v="4.0999999999999996"/>
    <n v="22.32"/>
    <n v="1"/>
    <n v="20"/>
    <n v="446.4"/>
    <n v="6.87"/>
    <n v="439.53"/>
  </r>
  <r>
    <s v="A165E36A"/>
    <m/>
    <m/>
    <s v="CUST7566"/>
    <s v="Kumar Smith"/>
    <s v="Australia"/>
    <s v="Ahmedabad"/>
    <s v="North Indian, Chinese"/>
    <s v="Cheeseburger"/>
    <n v="1916"/>
    <n v="49.47"/>
    <n v="2.4"/>
    <n v="7.25"/>
    <n v="3"/>
    <n v="12"/>
    <n v="261"/>
    <n v="0.28000000000000003"/>
    <n v="260.72000000000003"/>
  </r>
  <r>
    <s v="DB6D9163"/>
    <m/>
    <m/>
    <s v="CUST9498"/>
    <s v="David Sharma"/>
    <s v="Australia"/>
    <s v="Albany"/>
    <s v="North Indian, Chinese"/>
    <s v="Cheeseburger"/>
    <n v="3216"/>
    <n v="44.75"/>
    <n v="3.2"/>
    <n v="36.130000000000003"/>
    <n v="2"/>
    <n v="6"/>
    <n v="433.56000000000006"/>
    <n v="7.78"/>
    <n v="425.78"/>
  </r>
  <r>
    <s v="B810D6C3"/>
    <m/>
    <m/>
    <s v="CUST1156"/>
    <s v="Priya Smith"/>
    <s v="India"/>
    <s v="Albany"/>
    <s v="North Indian"/>
    <s v="Momos"/>
    <n v="2288"/>
    <n v="16.350000000000001"/>
    <n v="1.7"/>
    <n v="22.97"/>
    <n v="1"/>
    <n v="16"/>
    <n v="367.52"/>
    <n v="4.45"/>
    <n v="363.07"/>
  </r>
  <r>
    <s v="2A4EA006"/>
    <m/>
    <m/>
    <s v="CUST1592"/>
    <s v="David Lee"/>
    <s v="Australia"/>
    <s v="Albany"/>
    <s v="North Indian, Mughlai"/>
    <s v="Fried Rice"/>
    <n v="2806"/>
    <n v="21.02"/>
    <n v="1.6"/>
    <n v="8.61"/>
    <n v="5"/>
    <n v="1"/>
    <n v="43.05"/>
    <n v="7.34"/>
    <n v="35.71"/>
  </r>
  <r>
    <s v="CA74A1AC"/>
    <m/>
    <m/>
    <s v="CUST1835"/>
    <s v="Anita Singh"/>
    <s v="India"/>
    <s v="Albany"/>
    <s v="North Indian, Chinese"/>
    <s v="Pasta Alfredo"/>
    <n v="1067"/>
    <n v="24.64"/>
    <n v="4.2"/>
    <n v="36.46"/>
    <n v="5"/>
    <n v="2"/>
    <n v="364.6"/>
    <n v="8.6199999999999992"/>
    <n v="355.98"/>
  </r>
  <r>
    <s v="6CB2B2B0"/>
    <m/>
    <m/>
    <s v="CUST5902"/>
    <s v="Kumar Garcia"/>
    <s v="Singapore"/>
    <s v="Albany"/>
    <s v="Chinese"/>
    <s v="Masala Dosa"/>
    <n v="1920"/>
    <n v="21.42"/>
    <n v="2.2000000000000002"/>
    <n v="24.83"/>
    <n v="2"/>
    <n v="6"/>
    <n v="297.95999999999998"/>
    <n v="1.72"/>
    <n v="296.24"/>
  </r>
  <r>
    <s v="EF68350C"/>
    <m/>
    <m/>
    <s v="CUST4769"/>
    <s v="John Sharma"/>
    <s v="New Zealand"/>
    <s v="Albany"/>
    <s v="North Indian"/>
    <s v="Masala Dosa"/>
    <n v="4934"/>
    <n v="44.25"/>
    <n v="4"/>
    <n v="8.1"/>
    <n v="1"/>
    <n v="11"/>
    <n v="89.1"/>
    <n v="0.46"/>
    <n v="88.64"/>
  </r>
  <r>
    <s v="40862B52"/>
    <m/>
    <m/>
    <s v="CUST4182"/>
    <s v="John Singh"/>
    <s v="Canada"/>
    <s v="Albany"/>
    <s v="North Indian, Chinese"/>
    <s v="Margherita Pizza"/>
    <n v="1792"/>
    <n v="12.91"/>
    <n v="2.4"/>
    <n v="22.47"/>
    <n v="4"/>
    <n v="9"/>
    <n v="808.92"/>
    <n v="3.97"/>
    <n v="804.95"/>
  </r>
  <r>
    <s v="7ABFCEF7"/>
    <m/>
    <m/>
    <s v="CUST4013"/>
    <s v="Priya Singh"/>
    <s v="Canada"/>
    <s v="Albany"/>
    <s v="Chinese"/>
    <s v="Fried Rice"/>
    <n v="3093"/>
    <n v="45.89"/>
    <n v="4.9000000000000004"/>
    <n v="30.08"/>
    <n v="3"/>
    <n v="8"/>
    <n v="721.92"/>
    <n v="9.2899999999999991"/>
    <n v="712.63"/>
  </r>
  <r>
    <s v="BF410384"/>
    <m/>
    <m/>
    <s v="CUST1297"/>
    <s v="Priya Smith"/>
    <s v="Singapore"/>
    <s v="Albany"/>
    <s v="Cafe"/>
    <s v="Fried Rice"/>
    <n v="3930"/>
    <n v="14.68"/>
    <n v="1.6"/>
    <n v="33.770000000000003"/>
    <n v="5"/>
    <n v="13"/>
    <n v="2195.0500000000002"/>
    <n v="5.37"/>
    <n v="2189.6799999999998"/>
  </r>
  <r>
    <s v="E3CE493D"/>
    <m/>
    <m/>
    <s v="CUST4636"/>
    <s v="David Taylor"/>
    <s v="New Zealand"/>
    <s v="Albany"/>
    <s v="Chinese"/>
    <s v="Veg Biryani"/>
    <n v="4138"/>
    <n v="22.43"/>
    <n v="1.3"/>
    <n v="13.48"/>
    <n v="3"/>
    <n v="5"/>
    <n v="202.2"/>
    <n v="4.2699999999999996"/>
    <n v="197.93"/>
  </r>
  <r>
    <s v="C1655E25"/>
    <m/>
    <m/>
    <s v="CUST2808"/>
    <s v="David Garcia"/>
    <s v="Singapore"/>
    <s v="Albany"/>
    <s v="North Indian, Mughlai"/>
    <s v="Sushi Platter"/>
    <n v="1954"/>
    <n v="14.42"/>
    <n v="1.6"/>
    <n v="39.01"/>
    <n v="2"/>
    <n v="3"/>
    <n v="234.06"/>
    <n v="5.5"/>
    <n v="228.56"/>
  </r>
  <r>
    <s v="8362DE91"/>
    <m/>
    <m/>
    <s v="CUST4708"/>
    <s v="Ravi Smith"/>
    <s v="Canada"/>
    <s v="Albany"/>
    <s v="Cafe"/>
    <s v="Paneer Tikka"/>
    <n v="484"/>
    <n v="24.68"/>
    <n v="2.2999999999999998"/>
    <n v="14.6"/>
    <n v="3"/>
    <n v="11"/>
    <n v="481.79999999999995"/>
    <n v="6.93"/>
    <n v="474.87"/>
  </r>
  <r>
    <s v="3D5B1CD8"/>
    <m/>
    <m/>
    <s v="CUST4908"/>
    <s v="Kumar Patel"/>
    <s v="Qatar"/>
    <s v="Allahabad"/>
    <s v="North Indian, Mughlai"/>
    <s v="Grilled Sandwich"/>
    <n v="3860"/>
    <n v="15.59"/>
    <n v="3"/>
    <n v="30.89"/>
    <n v="5"/>
    <n v="8"/>
    <n v="1235.5999999999999"/>
    <n v="5"/>
    <n v="1230.5999999999999"/>
  </r>
  <r>
    <s v="F24D9EC0"/>
    <m/>
    <m/>
    <s v="CUST4485"/>
    <s v="David Garcia"/>
    <s v="New Zealand"/>
    <s v="Allahabad"/>
    <s v="North Indian, Chinese"/>
    <s v="Margherita Pizza"/>
    <n v="1461"/>
    <n v="7.96"/>
    <n v="4"/>
    <n v="25.43"/>
    <n v="4"/>
    <n v="9"/>
    <n v="915.48"/>
    <n v="8.4"/>
    <n v="907.08"/>
  </r>
  <r>
    <s v="05EDA9DB"/>
    <m/>
    <m/>
    <s v="CUST5653"/>
    <s v="Ahmed Lee"/>
    <s v="New Zealand"/>
    <s v="Allahabad"/>
    <s v="Chinese"/>
    <s v="Pasta Alfredo"/>
    <n v="3952"/>
    <n v="17.3"/>
    <n v="2.2999999999999998"/>
    <n v="23.86"/>
    <n v="4"/>
    <n v="10"/>
    <n v="954.4"/>
    <n v="2.02"/>
    <n v="952.38"/>
  </r>
  <r>
    <s v="31916B4E"/>
    <m/>
    <m/>
    <s v="CUST8324"/>
    <s v="Sophia Sharma"/>
    <s v="Canada"/>
    <s v="Allahabad"/>
    <s v="North Indian"/>
    <s v="Sushi Platter"/>
    <n v="331"/>
    <n v="6.1"/>
    <n v="4.9000000000000004"/>
    <n v="26.43"/>
    <n v="1"/>
    <n v="18"/>
    <n v="475.74"/>
    <n v="8.86"/>
    <n v="466.88"/>
  </r>
  <r>
    <s v="2ADD6FE5"/>
    <m/>
    <m/>
    <s v="CUST7974"/>
    <s v="David Garcia"/>
    <s v="Brazil"/>
    <s v="Allahabad"/>
    <s v="North Indian"/>
    <s v="Sushi Platter"/>
    <n v="2884"/>
    <n v="22.39"/>
    <n v="3.6"/>
    <n v="5.73"/>
    <n v="1"/>
    <n v="17"/>
    <n v="97.410000000000011"/>
    <n v="7"/>
    <n v="90.41"/>
  </r>
  <r>
    <s v="0DC16BC1"/>
    <m/>
    <m/>
    <s v="CUST7623"/>
    <s v="David Das"/>
    <s v="Brazil"/>
    <s v="Allahabad"/>
    <s v="Cafe"/>
    <s v="Fried Rice"/>
    <n v="1055"/>
    <n v="44.14"/>
    <n v="3.1"/>
    <n v="23.35"/>
    <n v="5"/>
    <n v="2"/>
    <n v="233.5"/>
    <n v="7.63"/>
    <n v="225.87"/>
  </r>
  <r>
    <s v="A4D8D668"/>
    <m/>
    <m/>
    <s v="CUST5676"/>
    <s v="Ahmed Khan"/>
    <s v="South Africa"/>
    <s v="Allahabad"/>
    <s v="Chinese"/>
    <s v="Pasta Alfredo"/>
    <n v="176"/>
    <n v="37.36"/>
    <n v="1.3"/>
    <n v="24.43"/>
    <n v="1"/>
    <n v="14"/>
    <n v="342.02"/>
    <n v="7.15"/>
    <n v="334.87"/>
  </r>
  <r>
    <s v="DBB30A56"/>
    <m/>
    <m/>
    <s v="CUST3171"/>
    <s v="Anita Smith"/>
    <s v="India"/>
    <s v="Allahabad"/>
    <s v="North Indian"/>
    <s v="Butter Chicken"/>
    <n v="3168"/>
    <n v="42.44"/>
    <n v="3.9"/>
    <n v="16.04"/>
    <n v="1"/>
    <n v="1"/>
    <n v="16.04"/>
    <n v="1.72"/>
    <n v="14.32"/>
  </r>
  <r>
    <s v="0156E408"/>
    <m/>
    <m/>
    <s v="CUST3888"/>
    <s v="Priya Singh"/>
    <s v="New Zealand"/>
    <s v="Allahabad"/>
    <s v="North Indian, Chinese"/>
    <s v="Margherita Pizza"/>
    <n v="2368"/>
    <n v="49.59"/>
    <n v="2.2000000000000002"/>
    <n v="18.12"/>
    <n v="4"/>
    <n v="1"/>
    <n v="72.48"/>
    <n v="8.5299999999999994"/>
    <n v="63.95"/>
  </r>
  <r>
    <s v="1404AF18"/>
    <m/>
    <m/>
    <s v="CUST7858"/>
    <s v="Priya Lee"/>
    <s v="Brazil"/>
    <s v="Allahabad"/>
    <s v="North Indian, Chinese"/>
    <s v="Butter Chicken"/>
    <n v="4665"/>
    <n v="33.01"/>
    <n v="2.4"/>
    <n v="27.09"/>
    <n v="4"/>
    <n v="15"/>
    <n v="1625.4"/>
    <n v="9.1"/>
    <n v="1616.3"/>
  </r>
  <r>
    <s v="B1739B9C"/>
    <m/>
    <m/>
    <s v="CUST6094"/>
    <s v="Ravi Smith"/>
    <s v="Brazil"/>
    <s v="Allahabad"/>
    <s v="Chinese"/>
    <s v="Paneer Tikka"/>
    <n v="4844"/>
    <n v="8.9600000000000009"/>
    <n v="3.2"/>
    <n v="19.309999999999999"/>
    <n v="1"/>
    <n v="2"/>
    <n v="38.619999999999997"/>
    <n v="4.22"/>
    <n v="34.4"/>
  </r>
  <r>
    <s v="A8524E63"/>
    <m/>
    <m/>
    <s v="CUST5221"/>
    <s v="Ahmed Taylor"/>
    <s v="Philippines"/>
    <s v="Allahabad"/>
    <s v="Chinese"/>
    <s v="Tandoori Roti"/>
    <n v="3200"/>
    <n v="7.36"/>
    <n v="3.1"/>
    <n v="36.64"/>
    <n v="5"/>
    <n v="15"/>
    <n v="2748"/>
    <n v="8.36"/>
    <n v="2739.64"/>
  </r>
  <r>
    <s v="1B806089"/>
    <m/>
    <m/>
    <s v="CUST3907"/>
    <s v="Sara Taylor"/>
    <s v="Qatar"/>
    <s v="Allahabad"/>
    <s v="North Indian, Chinese"/>
    <s v="Spring Rolls"/>
    <n v="4278"/>
    <n v="29.47"/>
    <n v="1.8"/>
    <n v="26.25"/>
    <n v="5"/>
    <n v="9"/>
    <n v="1181.25"/>
    <n v="6.8"/>
    <n v="1174.45"/>
  </r>
  <r>
    <s v="6106F9CC"/>
    <m/>
    <m/>
    <s v="CUST3577"/>
    <s v="Sara Brown"/>
    <s v="Indonesia"/>
    <s v="Amritsar"/>
    <s v="North Indian, Mughlai"/>
    <s v="Pasta Alfredo"/>
    <n v="599"/>
    <n v="41.97"/>
    <n v="1.4"/>
    <n v="10.1"/>
    <n v="4"/>
    <n v="13"/>
    <n v="525.19999999999993"/>
    <n v="7.71"/>
    <n v="517.49"/>
  </r>
  <r>
    <s v="F483C306"/>
    <m/>
    <m/>
    <s v="CUST2377"/>
    <s v="Ravi Brown"/>
    <s v="Singapore"/>
    <s v="Amritsar"/>
    <s v="North Indian, Chinese"/>
    <s v="Butter Chicken"/>
    <n v="4293"/>
    <n v="46.42"/>
    <n v="3.4"/>
    <n v="17.5"/>
    <n v="5"/>
    <n v="11"/>
    <n v="962.5"/>
    <n v="6.77"/>
    <n v="955.73"/>
  </r>
  <r>
    <s v="36A87766"/>
    <m/>
    <m/>
    <s v="CUST2397"/>
    <s v="Sara Sharma"/>
    <s v="Canada"/>
    <s v="Amritsar"/>
    <s v="North Indian, Chinese"/>
    <s v="Sushi Platter"/>
    <n v="2303"/>
    <n v="48.99"/>
    <n v="2.1"/>
    <n v="6.15"/>
    <n v="2"/>
    <n v="8"/>
    <n v="98.4"/>
    <n v="6.85"/>
    <n v="91.55"/>
  </r>
  <r>
    <s v="B87FE3DC"/>
    <m/>
    <m/>
    <s v="CUST8710"/>
    <s v="John Smith"/>
    <s v="Brazil"/>
    <s v="Amritsar"/>
    <s v="North Indian"/>
    <s v="Shawarma"/>
    <n v="82"/>
    <n v="46.95"/>
    <n v="2.5"/>
    <n v="10.1"/>
    <n v="4"/>
    <n v="8"/>
    <n v="323.2"/>
    <n v="4.0999999999999996"/>
    <n v="319.10000000000002"/>
  </r>
  <r>
    <s v="A6FE5134"/>
    <m/>
    <m/>
    <s v="CUST4794"/>
    <s v="Ahmed Smith"/>
    <s v="Canada"/>
    <s v="Amritsar"/>
    <s v="North Indian, Chinese"/>
    <s v="Tandoori Roti"/>
    <n v="1494"/>
    <n v="19.37"/>
    <n v="1.9"/>
    <n v="18.57"/>
    <n v="3"/>
    <n v="6"/>
    <n v="334.26"/>
    <n v="4.3"/>
    <n v="329.96"/>
  </r>
  <r>
    <s v="51C42B74"/>
    <m/>
    <m/>
    <s v="CUST6005"/>
    <s v="Anita Garcia"/>
    <s v="Singapore"/>
    <s v="Amritsar"/>
    <s v="North Indian, Mughlai"/>
    <s v="Sushi Platter"/>
    <n v="1733"/>
    <n v="45.49"/>
    <n v="2"/>
    <n v="37.549999999999997"/>
    <n v="1"/>
    <n v="14"/>
    <n v="525.69999999999993"/>
    <n v="5.01"/>
    <n v="520.69000000000005"/>
  </r>
  <r>
    <s v="36506687"/>
    <m/>
    <m/>
    <s v="CUST3205"/>
    <s v="David Patel"/>
    <s v="Brazil"/>
    <s v="Amritsar"/>
    <s v="Cafe"/>
    <s v="Chicken Biryani"/>
    <n v="3700"/>
    <n v="11.62"/>
    <n v="2"/>
    <n v="27.12"/>
    <n v="4"/>
    <n v="12"/>
    <n v="1301.76"/>
    <n v="7.23"/>
    <n v="1294.53"/>
  </r>
  <r>
    <s v="D92FC081"/>
    <m/>
    <m/>
    <s v="CUST1777"/>
    <s v="Ravi Smith"/>
    <s v="Indonesia"/>
    <s v="Amritsar"/>
    <s v="North Indian"/>
    <s v="Spring Rolls"/>
    <n v="2005"/>
    <n v="31.76"/>
    <n v="3.8"/>
    <n v="26.17"/>
    <n v="5"/>
    <n v="17"/>
    <n v="2224.4500000000003"/>
    <n v="7.15"/>
    <n v="2217.3000000000002"/>
  </r>
  <r>
    <s v="A141B411"/>
    <m/>
    <m/>
    <s v="CUST8426"/>
    <s v="Sara Brown"/>
    <s v="Australia"/>
    <s v="Amritsar"/>
    <s v="Chinese"/>
    <s v="Cheeseburger"/>
    <n v="2281"/>
    <n v="32.909999999999997"/>
    <n v="2.1"/>
    <n v="26.01"/>
    <n v="5"/>
    <n v="19"/>
    <n v="2470.9500000000003"/>
    <n v="3.67"/>
    <n v="2467.2800000000002"/>
  </r>
  <r>
    <s v="8C7E02EC"/>
    <m/>
    <m/>
    <s v="CUST3624"/>
    <s v="Emily Singh"/>
    <s v="Qatar"/>
    <s v="Amritsar"/>
    <s v="North Indian"/>
    <s v="Cheeseburger"/>
    <n v="1580"/>
    <n v="17.89"/>
    <n v="4.2"/>
    <n v="6.6"/>
    <n v="1"/>
    <n v="20"/>
    <n v="132"/>
    <n v="8.73"/>
    <n v="123.27"/>
  </r>
  <r>
    <s v="48A3455F"/>
    <m/>
    <m/>
    <s v="CUST9036"/>
    <s v="David Taylor"/>
    <s v="Canada"/>
    <s v="Amritsar"/>
    <s v="Cafe"/>
    <s v="Chicken Biryani"/>
    <n v="4804"/>
    <n v="10.34"/>
    <n v="3.3"/>
    <n v="26.69"/>
    <n v="3"/>
    <n v="3"/>
    <n v="240.21000000000004"/>
    <n v="6.4"/>
    <n v="233.81"/>
  </r>
  <r>
    <s v="F7E31606"/>
    <m/>
    <m/>
    <s v="CUST9357"/>
    <s v="Anita Khan"/>
    <s v="Indonesia"/>
    <s v="Amritsar"/>
    <s v="North Indian"/>
    <s v="Chicken Biryani"/>
    <n v="4680"/>
    <n v="9.02"/>
    <n v="4.2"/>
    <n v="30.02"/>
    <n v="3"/>
    <n v="9"/>
    <n v="810.54"/>
    <n v="3.48"/>
    <n v="807.06"/>
  </r>
  <r>
    <s v="0326F586"/>
    <m/>
    <m/>
    <s v="CUST4924"/>
    <s v="David Sharma"/>
    <s v="Singapore"/>
    <s v="Amritsar"/>
    <s v="North Indian, Mughlai"/>
    <s v="Veg Biryani"/>
    <n v="1724"/>
    <n v="27.89"/>
    <n v="4.5"/>
    <n v="31.08"/>
    <n v="1"/>
    <n v="13"/>
    <n v="404.03999999999996"/>
    <n v="8.9700000000000006"/>
    <n v="395.07"/>
  </r>
  <r>
    <s v="4BDF1222"/>
    <m/>
    <m/>
    <s v="CUST6896"/>
    <s v="Kumar Taylor"/>
    <s v="Indonesia"/>
    <s v="Amritsar"/>
    <s v="North Indian, Chinese"/>
    <s v="Fried Rice"/>
    <n v="2866"/>
    <n v="6.1"/>
    <n v="4.9000000000000004"/>
    <n v="34.53"/>
    <n v="5"/>
    <n v="7"/>
    <n v="1208.55"/>
    <n v="1.24"/>
    <n v="1207.31"/>
  </r>
  <r>
    <s v="6D15903F"/>
    <m/>
    <m/>
    <s v="CUST4730"/>
    <s v="Sara Lee"/>
    <s v="Brazil"/>
    <s v="Amritsar"/>
    <s v="Cafe"/>
    <s v="Paneer Tikka"/>
    <n v="960"/>
    <n v="35.380000000000003"/>
    <n v="2.6"/>
    <n v="7.51"/>
    <n v="2"/>
    <n v="18"/>
    <n v="270.36"/>
    <n v="0.28999999999999998"/>
    <n v="270.07"/>
  </r>
  <r>
    <s v="D111140A"/>
    <m/>
    <m/>
    <s v="CUST7530"/>
    <s v="Ravi Khan"/>
    <s v="Singapore"/>
    <s v="Amritsar"/>
    <s v="North Indian, Mughlai"/>
    <s v="Margherita Pizza"/>
    <n v="1528"/>
    <n v="42.05"/>
    <n v="1.6"/>
    <n v="9.57"/>
    <n v="3"/>
    <n v="4"/>
    <n v="114.84"/>
    <n v="4.91"/>
    <n v="109.93"/>
  </r>
  <r>
    <s v="10B0DA38"/>
    <m/>
    <m/>
    <s v="CUST1363"/>
    <s v="Kumar Khan"/>
    <s v="Brazil"/>
    <s v="Ankara"/>
    <s v="North Indian"/>
    <s v="Pasta Alfredo"/>
    <n v="3317"/>
    <n v="36.21"/>
    <n v="2.1"/>
    <n v="30.15"/>
    <n v="5"/>
    <n v="15"/>
    <n v="2261.25"/>
    <n v="1.47"/>
    <n v="2259.7800000000002"/>
  </r>
  <r>
    <s v="536CABFA"/>
    <m/>
    <m/>
    <s v="CUST7592"/>
    <s v="Emily Patel"/>
    <s v="India"/>
    <s v="Ankara"/>
    <s v="Cafe"/>
    <s v="Butter Chicken"/>
    <n v="4353"/>
    <n v="15.51"/>
    <n v="2.6"/>
    <n v="12.26"/>
    <n v="1"/>
    <n v="8"/>
    <n v="98.08"/>
    <n v="7.07"/>
    <n v="91.01"/>
  </r>
  <r>
    <s v="F5445AF5"/>
    <m/>
    <m/>
    <s v="CUST7183"/>
    <s v="Sophia Patel"/>
    <s v="India"/>
    <s v="Ankara"/>
    <s v="North Indian, Chinese"/>
    <s v="Grilled Sandwich"/>
    <n v="667"/>
    <n v="43.74"/>
    <n v="2.2000000000000002"/>
    <n v="14.14"/>
    <n v="5"/>
    <n v="10"/>
    <n v="707"/>
    <n v="5.4"/>
    <n v="701.6"/>
  </r>
  <r>
    <s v="D805C8A0"/>
    <m/>
    <m/>
    <s v="CUST5700"/>
    <s v="Anita Garcia"/>
    <s v="South Africa"/>
    <s v="Ankara"/>
    <s v="Cafe"/>
    <s v="Tandoori Roti"/>
    <n v="4136"/>
    <n v="25.49"/>
    <n v="4.0999999999999996"/>
    <n v="5.57"/>
    <n v="4"/>
    <n v="13"/>
    <n v="289.64"/>
    <n v="3.86"/>
    <n v="285.77999999999997"/>
  </r>
  <r>
    <s v="77B42B39"/>
    <m/>
    <m/>
    <s v="CUST2182"/>
    <s v="Sophia Khan"/>
    <s v="India"/>
    <s v="Ankara"/>
    <s v="North Indian, Chinese"/>
    <s v="Sushi Platter"/>
    <n v="4385"/>
    <n v="45.44"/>
    <n v="3.6"/>
    <n v="18.829999999999998"/>
    <n v="2"/>
    <n v="11"/>
    <n v="414.26"/>
    <n v="6.07"/>
    <n v="408.19"/>
  </r>
  <r>
    <s v="EE7D3F9C"/>
    <m/>
    <m/>
    <s v="CUST9862"/>
    <s v="John Brown"/>
    <s v="Brazil"/>
    <s v="Ankara"/>
    <s v="North Indian, Chinese"/>
    <s v="Grilled Sandwich"/>
    <n v="1635"/>
    <n v="32.75"/>
    <n v="2.4"/>
    <n v="38.770000000000003"/>
    <n v="2"/>
    <n v="2"/>
    <n v="155.08000000000001"/>
    <n v="5.58"/>
    <n v="149.5"/>
  </r>
  <r>
    <s v="2E9F60F9"/>
    <m/>
    <m/>
    <s v="CUST9009"/>
    <s v="Sophia Das"/>
    <s v="Brazil"/>
    <s v="Ankara"/>
    <s v="Chinese"/>
    <s v="Margherita Pizza"/>
    <n v="2276"/>
    <n v="31.15"/>
    <n v="3.9"/>
    <n v="9.51"/>
    <n v="1"/>
    <n v="12"/>
    <n v="114.12"/>
    <n v="1.9"/>
    <n v="112.22"/>
  </r>
  <r>
    <s v="12F0BC5C"/>
    <m/>
    <m/>
    <s v="CUST4515"/>
    <s v="Ahmed Das"/>
    <s v="South Africa"/>
    <s v="Ankara"/>
    <s v="North Indian"/>
    <s v="Fried Rice"/>
    <n v="4831"/>
    <n v="40.4"/>
    <n v="3.8"/>
    <n v="15.45"/>
    <n v="2"/>
    <n v="7"/>
    <n v="216.29999999999998"/>
    <n v="1.71"/>
    <n v="214.59"/>
  </r>
  <r>
    <s v="A0BC2093"/>
    <m/>
    <m/>
    <s v="CUST7215"/>
    <s v="Sara Khan"/>
    <s v="India"/>
    <s v="Athens"/>
    <s v="North Indian, Chinese"/>
    <s v="Sushi Platter"/>
    <n v="3763"/>
    <n v="32.340000000000003"/>
    <n v="2.2999999999999998"/>
    <n v="34.479999999999997"/>
    <n v="5"/>
    <n v="10"/>
    <n v="1723.9999999999998"/>
    <n v="4.2699999999999996"/>
    <n v="1719.73"/>
  </r>
  <r>
    <s v="DE13B2A1"/>
    <m/>
    <m/>
    <s v="CUST6891"/>
    <s v="Sara Taylor"/>
    <s v="Canada"/>
    <s v="Athens"/>
    <s v="North Indian, Chinese"/>
    <s v="Veg Biryani"/>
    <n v="3239"/>
    <n v="15.67"/>
    <n v="3.4"/>
    <n v="39.92"/>
    <n v="2"/>
    <n v="11"/>
    <n v="878.24"/>
    <n v="0.11"/>
    <n v="878.13"/>
  </r>
  <r>
    <s v="616BC3B7"/>
    <m/>
    <m/>
    <s v="CUST5517"/>
    <s v="Kumar Taylor"/>
    <s v="Singapore"/>
    <s v="Athens"/>
    <s v="North Indian, Chinese"/>
    <s v="Momos"/>
    <n v="4601"/>
    <n v="19.510000000000002"/>
    <n v="4.2"/>
    <n v="21.18"/>
    <n v="2"/>
    <n v="10"/>
    <n v="423.6"/>
    <n v="0.75"/>
    <n v="422.85"/>
  </r>
  <r>
    <s v="5397F771"/>
    <m/>
    <m/>
    <s v="CUST7877"/>
    <s v="Ravi Smith"/>
    <s v="India"/>
    <s v="Athens"/>
    <s v="Cafe"/>
    <s v="Fried Rice"/>
    <n v="433"/>
    <n v="48.09"/>
    <n v="2.2999999999999998"/>
    <n v="32.32"/>
    <n v="5"/>
    <n v="5"/>
    <n v="808"/>
    <n v="9.85"/>
    <n v="798.15"/>
  </r>
  <r>
    <s v="7AD261A9"/>
    <m/>
    <m/>
    <s v="CUST9348"/>
    <s v="David Taylor"/>
    <s v="Indonesia"/>
    <s v="Athens"/>
    <s v="Cafe"/>
    <s v="Fried Rice"/>
    <n v="2971"/>
    <n v="36.270000000000003"/>
    <n v="4.5999999999999996"/>
    <n v="20.98"/>
    <n v="1"/>
    <n v="14"/>
    <n v="293.72000000000003"/>
    <n v="4.42"/>
    <n v="289.3"/>
  </r>
  <r>
    <s v="40080487"/>
    <m/>
    <m/>
    <s v="CUST3007"/>
    <s v="David Singh"/>
    <s v="Qatar"/>
    <s v="Athens"/>
    <s v="Chinese"/>
    <s v="Cheeseburger"/>
    <n v="4551"/>
    <n v="40.98"/>
    <n v="4.4000000000000004"/>
    <n v="17.149999999999999"/>
    <n v="2"/>
    <n v="14"/>
    <n v="480.19999999999993"/>
    <n v="2"/>
    <n v="478.2"/>
  </r>
  <r>
    <s v="472D5CA0"/>
    <m/>
    <m/>
    <s v="CUST2402"/>
    <s v="Ravi Khan"/>
    <s v="Philippines"/>
    <s v="Auckland"/>
    <s v="North Indian, Mughlai"/>
    <s v="Fried Rice"/>
    <n v="1697"/>
    <n v="28.48"/>
    <n v="4.3"/>
    <n v="23.36"/>
    <n v="1"/>
    <n v="18"/>
    <n v="420.48"/>
    <n v="2.68"/>
    <n v="417.8"/>
  </r>
  <r>
    <s v="682A3586"/>
    <m/>
    <m/>
    <s v="CUST6082"/>
    <s v="Sophia Das"/>
    <s v="Canada"/>
    <s v="Auckland"/>
    <s v="North Indian, Chinese"/>
    <s v="Veg Biryani"/>
    <n v="3097"/>
    <n v="26.44"/>
    <n v="2.4"/>
    <n v="32.5"/>
    <n v="5"/>
    <n v="16"/>
    <n v="2600"/>
    <n v="8.1300000000000008"/>
    <n v="2591.87"/>
  </r>
  <r>
    <s v="18A21C49"/>
    <m/>
    <m/>
    <s v="CUST4575"/>
    <s v="Priya Taylor"/>
    <s v="India"/>
    <s v="Auckland"/>
    <s v="Chinese"/>
    <s v="Cheeseburger"/>
    <n v="3520"/>
    <n v="30.4"/>
    <n v="3.2"/>
    <n v="29.37"/>
    <n v="5"/>
    <n v="11"/>
    <n v="1615.35"/>
    <n v="6.62"/>
    <n v="1608.73"/>
  </r>
  <r>
    <s v="AC811B9C"/>
    <m/>
    <m/>
    <s v="CUST5177"/>
    <s v="Ahmed Smith"/>
    <s v="Indonesia"/>
    <s v="Auckland"/>
    <s v="Chinese"/>
    <s v="Paneer Tikka"/>
    <n v="4206"/>
    <n v="29.08"/>
    <n v="3.5"/>
    <n v="38.299999999999997"/>
    <n v="4"/>
    <n v="5"/>
    <n v="766"/>
    <n v="7.19"/>
    <n v="758.81"/>
  </r>
  <r>
    <s v="9FB223E4"/>
    <m/>
    <m/>
    <s v="CUST1006"/>
    <s v="David Singh"/>
    <s v="Singapore"/>
    <s v="Auckland"/>
    <s v="North Indian, Mughlai"/>
    <s v="Pasta Alfredo"/>
    <n v="4328"/>
    <n v="29.26"/>
    <n v="3.4"/>
    <n v="39.869999999999997"/>
    <n v="1"/>
    <n v="19"/>
    <n v="757.53"/>
    <n v="2.08"/>
    <n v="755.45"/>
  </r>
  <r>
    <s v="456B5B00"/>
    <m/>
    <m/>
    <s v="CUST2115"/>
    <s v="David Das"/>
    <s v="Australia"/>
    <s v="Auckland"/>
    <s v="Cafe"/>
    <s v="Tandoori Roti"/>
    <n v="3607"/>
    <n v="32.85"/>
    <n v="1.5"/>
    <n v="36.39"/>
    <n v="3"/>
    <n v="6"/>
    <n v="655.02"/>
    <n v="9.9499999999999993"/>
    <n v="645.07000000000005"/>
  </r>
  <r>
    <s v="06704108"/>
    <m/>
    <m/>
    <s v="CUST8394"/>
    <s v="Priya Smith"/>
    <s v="Canada"/>
    <s v="Auckland"/>
    <s v="Chinese"/>
    <s v="Tandoori Roti"/>
    <n v="3143"/>
    <n v="28.68"/>
    <n v="2.9"/>
    <n v="33.83"/>
    <n v="1"/>
    <n v="16"/>
    <n v="541.28"/>
    <n v="5.64"/>
    <n v="535.64"/>
  </r>
  <r>
    <s v="90E70492"/>
    <m/>
    <m/>
    <s v="CUST6032"/>
    <s v="Ravi Singh"/>
    <s v="India"/>
    <s v="Auckland"/>
    <s v="Cafe"/>
    <s v="Butter Chicken"/>
    <n v="4688"/>
    <n v="21.27"/>
    <n v="1.1000000000000001"/>
    <n v="19.420000000000002"/>
    <n v="1"/>
    <n v="7"/>
    <n v="135.94"/>
    <n v="1.22"/>
    <n v="134.72"/>
  </r>
  <r>
    <s v="53824979"/>
    <m/>
    <m/>
    <s v="CUST8882"/>
    <s v="Priya Brown"/>
    <s v="South Africa"/>
    <s v="Auckland"/>
    <s v="Cafe"/>
    <s v="Margherita Pizza"/>
    <n v="2601"/>
    <n v="36.36"/>
    <n v="4.2"/>
    <n v="10.11"/>
    <n v="4"/>
    <n v="13"/>
    <n v="525.72"/>
    <n v="8.1"/>
    <n v="517.62"/>
  </r>
  <r>
    <s v="5B6B0533"/>
    <m/>
    <m/>
    <s v="CUST1709"/>
    <s v="John Khan"/>
    <s v="Philippines"/>
    <s v="Auckland"/>
    <s v="Chinese"/>
    <s v="Fried Rice"/>
    <n v="1126"/>
    <n v="29.57"/>
    <n v="4.4000000000000004"/>
    <n v="34.520000000000003"/>
    <n v="3"/>
    <n v="10"/>
    <n v="1035.5999999999999"/>
    <n v="0.73"/>
    <n v="1034.8699999999999"/>
  </r>
  <r>
    <s v="68B57165"/>
    <m/>
    <m/>
    <s v="CUST4195"/>
    <s v="Sophia Brown"/>
    <s v="Indonesia"/>
    <s v="Auckland"/>
    <s v="North Indian"/>
    <s v="Pasta Alfredo"/>
    <n v="1124"/>
    <n v="24.9"/>
    <n v="3.7"/>
    <n v="7.46"/>
    <n v="3"/>
    <n v="14"/>
    <n v="313.32"/>
    <n v="0.65"/>
    <n v="312.67"/>
  </r>
  <r>
    <s v="46BBC063"/>
    <m/>
    <m/>
    <s v="CUST8067"/>
    <s v="John Patel"/>
    <s v="Indonesia"/>
    <s v="Auckland"/>
    <s v="North Indian, Chinese"/>
    <s v="Fried Rice"/>
    <n v="4275"/>
    <n v="17.13"/>
    <n v="3.8"/>
    <n v="36.58"/>
    <n v="4"/>
    <n v="17"/>
    <n v="2487.44"/>
    <n v="4.28"/>
    <n v="2483.16"/>
  </r>
  <r>
    <s v="170A49D3"/>
    <m/>
    <m/>
    <s v="CUST3054"/>
    <s v="Ahmed Garcia"/>
    <s v="Philippines"/>
    <s v="Auckland"/>
    <s v="North Indian, Chinese"/>
    <s v="Pasta Alfredo"/>
    <n v="797"/>
    <n v="17.14"/>
    <n v="2.1"/>
    <n v="13.16"/>
    <n v="2"/>
    <n v="7"/>
    <n v="184.24"/>
    <n v="2.5499999999999998"/>
    <n v="181.69"/>
  </r>
  <r>
    <s v="438EDE01"/>
    <m/>
    <m/>
    <s v="CUST8166"/>
    <s v="John Khan"/>
    <s v="Brazil"/>
    <s v="Auckland"/>
    <s v="North Indian, Chinese"/>
    <s v="Veg Biryani"/>
    <n v="4728"/>
    <n v="41.54"/>
    <n v="3.6"/>
    <n v="35.659999999999997"/>
    <n v="5"/>
    <n v="2"/>
    <n v="356.59999999999997"/>
    <n v="5.8"/>
    <n v="350.8"/>
  </r>
  <r>
    <s v="8A2010A5"/>
    <m/>
    <m/>
    <s v="CUST6129"/>
    <s v="Anita Lee"/>
    <s v="Philippines"/>
    <s v="Auckland"/>
    <s v="Chinese"/>
    <s v="Cheeseburger"/>
    <n v="4066"/>
    <n v="24.33"/>
    <n v="1.6"/>
    <n v="22.23"/>
    <n v="5"/>
    <n v="6"/>
    <n v="666.90000000000009"/>
    <n v="9.58"/>
    <n v="657.32"/>
  </r>
  <r>
    <s v="31079BB9"/>
    <m/>
    <m/>
    <s v="CUST5642"/>
    <s v="Sophia Patel"/>
    <s v="New Zealand"/>
    <s v="Abu Dhabi"/>
    <s v="North Indian"/>
    <s v="Tandoori Roti"/>
    <n v="199"/>
    <n v="8.9600000000000009"/>
    <n v="2"/>
    <n v="39.51"/>
    <n v="2"/>
    <n v="1"/>
    <n v="79.02"/>
    <n v="7.1"/>
    <n v="71.92"/>
  </r>
  <r>
    <s v="071FE06A"/>
    <m/>
    <m/>
    <s v="CUST6790"/>
    <s v="John Garcia"/>
    <s v="Philippines"/>
    <s v="Abu Dhabi"/>
    <s v="Chinese"/>
    <s v="Shawarma"/>
    <n v="138"/>
    <n v="25.46"/>
    <n v="1.7"/>
    <n v="23.2"/>
    <n v="5"/>
    <n v="12"/>
    <n v="1392"/>
    <n v="7.67"/>
    <n v="1384.33"/>
  </r>
  <r>
    <s v="6A8EA3CB"/>
    <m/>
    <m/>
    <s v="CUST7178"/>
    <s v="Ravi Brown"/>
    <s v="South Africa"/>
    <s v="Abu Dhabi"/>
    <s v="Chinese"/>
    <s v="Sushi Platter"/>
    <n v="730"/>
    <n v="25.56"/>
    <n v="1.4"/>
    <n v="21.33"/>
    <n v="5"/>
    <n v="2"/>
    <n v="213.29999999999998"/>
    <n v="2.2000000000000002"/>
    <n v="211.1"/>
  </r>
  <r>
    <s v="D210009A"/>
    <m/>
    <m/>
    <s v="CUST7357"/>
    <s v="John Khan"/>
    <s v="New Zealand"/>
    <s v="Abu Dhabi"/>
    <s v="North Indian, Chinese"/>
    <s v="Sushi Platter"/>
    <n v="1978"/>
    <n v="28.75"/>
    <n v="1.2"/>
    <n v="35.61"/>
    <n v="3"/>
    <n v="15"/>
    <n v="1602.45"/>
    <n v="0.65"/>
    <n v="1601.8"/>
  </r>
  <r>
    <s v="69B90F10"/>
    <m/>
    <m/>
    <s v="CUST3303"/>
    <s v="Ahmed Smith"/>
    <s v="Australia"/>
    <s v="Abu Dhabi"/>
    <s v="North Indian"/>
    <s v="Margherita Pizza"/>
    <n v="2880"/>
    <n v="23.75"/>
    <n v="3.6"/>
    <n v="30.75"/>
    <n v="1"/>
    <n v="10"/>
    <n v="307.5"/>
    <n v="0.56000000000000005"/>
    <n v="306.94"/>
  </r>
  <r>
    <s v="C0CF4A59"/>
    <m/>
    <m/>
    <s v="CUST5334"/>
    <s v="Kumar Sharma"/>
    <s v="Qatar"/>
    <s v="Abu Dhabi"/>
    <s v="North Indian, Mughlai"/>
    <s v="Paneer Tikka"/>
    <n v="4476"/>
    <n v="47.58"/>
    <n v="1.8"/>
    <n v="19.48"/>
    <n v="2"/>
    <n v="1"/>
    <n v="38.96"/>
    <n v="3.58"/>
    <n v="35.380000000000003"/>
  </r>
  <r>
    <s v="8E344DA0"/>
    <m/>
    <m/>
    <s v="CUST3065"/>
    <s v="Priya Smith"/>
    <s v="Philippines"/>
    <s v="Abu Dhabi"/>
    <s v="North Indian"/>
    <s v="Cheeseburger"/>
    <n v="1849"/>
    <n v="46.22"/>
    <n v="1.5"/>
    <n v="10.01"/>
    <n v="2"/>
    <n v="18"/>
    <n v="360.36"/>
    <n v="8.65"/>
    <n v="351.71"/>
  </r>
  <r>
    <s v="ADE8CE77"/>
    <m/>
    <m/>
    <s v="CUST5774"/>
    <s v="Sara Singh"/>
    <s v="Canada"/>
    <s v="Abu Dhabi"/>
    <s v="North Indian, Mughlai"/>
    <s v="Grilled Sandwich"/>
    <n v="4155"/>
    <n v="5.71"/>
    <n v="3.9"/>
    <n v="32.42"/>
    <n v="1"/>
    <n v="8"/>
    <n v="259.36"/>
    <n v="4.5999999999999996"/>
    <n v="254.76"/>
  </r>
  <r>
    <s v="9721670B"/>
    <m/>
    <m/>
    <s v="CUST5560"/>
    <s v="Sophia Patel"/>
    <s v="Canada"/>
    <s v="Abu Dhabi"/>
    <s v="North Indian, Chinese"/>
    <s v="Spring Rolls"/>
    <n v="4469"/>
    <n v="14.62"/>
    <n v="4.5999999999999996"/>
    <n v="17.510000000000002"/>
    <n v="3"/>
    <n v="3"/>
    <n v="157.59"/>
    <n v="7.21"/>
    <n v="150.38"/>
  </r>
  <r>
    <s v="514EE905"/>
    <m/>
    <m/>
    <s v="CUST8274"/>
    <s v="Emily Smith"/>
    <s v="Canada"/>
    <s v="Abu Dhabi"/>
    <s v="Chinese"/>
    <s v="Veg Biryani"/>
    <n v="1181"/>
    <n v="39.92"/>
    <n v="1.3"/>
    <n v="23.13"/>
    <n v="3"/>
    <n v="18"/>
    <n v="1249.02"/>
    <n v="2.96"/>
    <n v="1246.06"/>
  </r>
  <r>
    <s v="9DDA088E"/>
    <m/>
    <m/>
    <s v="CUST3384"/>
    <s v="John Lee"/>
    <s v="Indonesia"/>
    <s v="Abu Dhabi"/>
    <s v="North Indian"/>
    <s v="Fried Rice"/>
    <n v="3362"/>
    <n v="19.059999999999999"/>
    <n v="3.2"/>
    <n v="31.51"/>
    <n v="2"/>
    <n v="6"/>
    <n v="378.12"/>
    <n v="1.65"/>
    <n v="376.47"/>
  </r>
  <r>
    <s v="7C0AF4FD"/>
    <m/>
    <m/>
    <s v="CUST6934"/>
    <s v="Ravi Lee"/>
    <s v="South Africa"/>
    <s v="Abu Dhabi"/>
    <s v="North Indian, Mughlai"/>
    <s v="Masala Dosa"/>
    <n v="3377"/>
    <n v="30.67"/>
    <n v="2.4"/>
    <n v="26.75"/>
    <n v="5"/>
    <n v="20"/>
    <n v="2675"/>
    <n v="7.85"/>
    <n v="2667.15"/>
  </r>
  <r>
    <s v="A8440072"/>
    <m/>
    <m/>
    <s v="CUST1280"/>
    <s v="Sara Singh"/>
    <s v="India"/>
    <s v="Agra"/>
    <s v="North Indian"/>
    <s v="Sushi Platter"/>
    <n v="162"/>
    <n v="34.78"/>
    <n v="4.0999999999999996"/>
    <n v="22.02"/>
    <n v="5"/>
    <n v="7"/>
    <n v="770.69999999999993"/>
    <n v="8.0299999999999994"/>
    <n v="762.67"/>
  </r>
  <r>
    <s v="EF365C57"/>
    <m/>
    <m/>
    <s v="CUST6961"/>
    <s v="Anita Khan"/>
    <s v="Australia"/>
    <s v="Agra"/>
    <s v="North Indian, Chinese"/>
    <s v="Chicken Biryani"/>
    <n v="686"/>
    <n v="30.66"/>
    <n v="4.0999999999999996"/>
    <n v="36.82"/>
    <n v="4"/>
    <n v="13"/>
    <n v="1914.64"/>
    <n v="3.77"/>
    <n v="1910.87"/>
  </r>
  <r>
    <s v="ECC01213"/>
    <m/>
    <m/>
    <s v="CUST2085"/>
    <s v="David Brown"/>
    <s v="Indonesia"/>
    <s v="Agra"/>
    <s v="Chinese"/>
    <s v="Tandoori Roti"/>
    <n v="1399"/>
    <n v="26.91"/>
    <n v="4.7"/>
    <n v="27.02"/>
    <n v="4"/>
    <n v="3"/>
    <n v="324.24"/>
    <n v="3.22"/>
    <n v="321.02"/>
  </r>
  <r>
    <s v="B32F51A3"/>
    <m/>
    <m/>
    <s v="CUST8893"/>
    <s v="Ravi Taylor"/>
    <s v="South Africa"/>
    <s v="Agra"/>
    <s v="North Indian, Chinese"/>
    <s v="Sushi Platter"/>
    <n v="849"/>
    <n v="41.77"/>
    <n v="4.0999999999999996"/>
    <n v="25.04"/>
    <n v="3"/>
    <n v="19"/>
    <n v="1427.2800000000002"/>
    <n v="9.1"/>
    <n v="1418.18"/>
  </r>
  <r>
    <s v="7E2FC999"/>
    <m/>
    <m/>
    <s v="CUST4831"/>
    <s v="Emily Khan"/>
    <s v="Brazil"/>
    <s v="Agra"/>
    <s v="Cafe"/>
    <s v="Margherita Pizza"/>
    <n v="1324"/>
    <n v="10.3"/>
    <n v="3.3"/>
    <n v="15.92"/>
    <n v="4"/>
    <n v="6"/>
    <n v="382.08"/>
    <n v="6.63"/>
    <n v="375.45"/>
  </r>
  <r>
    <s v="A7CBD072"/>
    <m/>
    <m/>
    <s v="CUST2837"/>
    <s v="David Lee"/>
    <s v="Indonesia"/>
    <s v="Agra"/>
    <s v="North Indian, Chinese"/>
    <s v="Veg Biryani"/>
    <n v="1388"/>
    <n v="32.549999999999997"/>
    <n v="1.4"/>
    <n v="9.17"/>
    <n v="2"/>
    <n v="13"/>
    <n v="238.42"/>
    <n v="1.73"/>
    <n v="236.69"/>
  </r>
  <r>
    <s v="EE3BFD0F"/>
    <m/>
    <m/>
    <s v="CUST6368"/>
    <s v="Sophia Taylor"/>
    <s v="Australia"/>
    <s v="Agra"/>
    <s v="North Indian, Chinese"/>
    <s v="Paneer Tikka"/>
    <n v="225"/>
    <n v="20.02"/>
    <n v="4.9000000000000004"/>
    <n v="8.31"/>
    <n v="5"/>
    <n v="3"/>
    <n v="124.65"/>
    <n v="1.4"/>
    <n v="123.25"/>
  </r>
  <r>
    <s v="C96895C9"/>
    <m/>
    <m/>
    <s v="CUST3529"/>
    <s v="Priya Das"/>
    <s v="Canada"/>
    <s v="Agra"/>
    <s v="North Indian, Mughlai"/>
    <s v="Pasta Alfredo"/>
    <n v="1268"/>
    <n v="14.97"/>
    <n v="4.7"/>
    <n v="33.96"/>
    <n v="4"/>
    <n v="1"/>
    <n v="135.84"/>
    <n v="9.1300000000000008"/>
    <n v="126.71"/>
  </r>
  <r>
    <s v="698DC602"/>
    <m/>
    <m/>
    <s v="CUST5597"/>
    <s v="Ravi Singh"/>
    <s v="Indonesia"/>
    <s v="Agra"/>
    <s v="North Indian, Chinese"/>
    <s v="Sushi Platter"/>
    <n v="4876"/>
    <n v="12.68"/>
    <n v="3.7"/>
    <n v="20.68"/>
    <n v="4"/>
    <n v="15"/>
    <n v="1240.8"/>
    <n v="7.71"/>
    <n v="1233.0899999999999"/>
  </r>
  <r>
    <s v="20BCE290"/>
    <m/>
    <m/>
    <s v="CUST1682"/>
    <s v="Ahmed Taylor"/>
    <s v="Indonesia"/>
    <s v="Agra"/>
    <s v="North Indian"/>
    <s v="Masala Dosa"/>
    <n v="4378"/>
    <n v="35.64"/>
    <n v="2.4"/>
    <n v="34.04"/>
    <n v="2"/>
    <n v="12"/>
    <n v="816.96"/>
    <n v="9.4700000000000006"/>
    <n v="807.49"/>
  </r>
  <r>
    <s v="9689E65D"/>
    <m/>
    <m/>
    <s v="CUST4619"/>
    <s v="Ravi Smith"/>
    <s v="Canada"/>
    <s v="Agra"/>
    <s v="North Indian"/>
    <s v="Chicken Biryani"/>
    <n v="1400"/>
    <n v="13.71"/>
    <n v="1.9"/>
    <n v="14.6"/>
    <n v="3"/>
    <n v="17"/>
    <n v="744.59999999999991"/>
    <n v="5.04"/>
    <n v="739.56"/>
  </r>
  <r>
    <s v="FDB3F695"/>
    <m/>
    <m/>
    <s v="CUST5185"/>
    <s v="John Lee"/>
    <s v="South Africa"/>
    <s v="Agra"/>
    <s v="North Indian, Chinese"/>
    <s v="Masala Dosa"/>
    <n v="1124"/>
    <n v="29.13"/>
    <n v="4.4000000000000004"/>
    <n v="34.9"/>
    <n v="3"/>
    <n v="2"/>
    <n v="209.39999999999998"/>
    <n v="4.3099999999999996"/>
    <n v="205.09"/>
  </r>
  <r>
    <s v="E7DF3D6C"/>
    <m/>
    <m/>
    <s v="CUST4512"/>
    <s v="Sara Taylor"/>
    <s v="Qatar"/>
    <s v="Agra"/>
    <s v="Chinese"/>
    <s v="Shawarma"/>
    <n v="1416"/>
    <n v="16.2"/>
    <n v="1.8"/>
    <n v="20.9"/>
    <n v="4"/>
    <n v="11"/>
    <n v="919.59999999999991"/>
    <n v="1.89"/>
    <n v="917.71"/>
  </r>
  <r>
    <s v="8F72FD3A"/>
    <m/>
    <m/>
    <s v="CUST3216"/>
    <s v="Anita Patel"/>
    <s v="Indonesia"/>
    <s v="Ahmedabad"/>
    <s v="Cafe"/>
    <s v="Cheeseburger"/>
    <n v="4228"/>
    <n v="40.119999999999997"/>
    <n v="4.5"/>
    <n v="21.46"/>
    <n v="2"/>
    <n v="17"/>
    <n v="729.64"/>
    <n v="1.08"/>
    <n v="728.56"/>
  </r>
  <r>
    <s v="473C0337"/>
    <m/>
    <m/>
    <s v="CUST9452"/>
    <s v="Priya Das"/>
    <s v="Canada"/>
    <s v="Ahmedabad"/>
    <s v="Chinese"/>
    <s v="Spring Rolls"/>
    <n v="3805"/>
    <n v="40.82"/>
    <n v="2.8"/>
    <n v="25.26"/>
    <n v="2"/>
    <n v="12"/>
    <n v="606.24"/>
    <n v="2.2400000000000002"/>
    <n v="604"/>
  </r>
  <r>
    <s v="C442DF23"/>
    <m/>
    <m/>
    <s v="CUST5480"/>
    <s v="Priya Smith"/>
    <s v="South Africa"/>
    <s v="Ahmedabad"/>
    <s v="North Indian, Mughlai"/>
    <s v="Cheeseburger"/>
    <n v="4666"/>
    <n v="48.76"/>
    <n v="3.3"/>
    <n v="12.88"/>
    <n v="2"/>
    <n v="20"/>
    <n v="515.20000000000005"/>
    <n v="2.98"/>
    <n v="512.22"/>
  </r>
  <r>
    <s v="7272D005"/>
    <m/>
    <m/>
    <s v="CUST2465"/>
    <s v="Emily Singh"/>
    <s v="Australia"/>
    <s v="Ahmedabad"/>
    <s v="Chinese"/>
    <s v="Spring Rolls"/>
    <n v="1125"/>
    <n v="36.82"/>
    <n v="4.7"/>
    <n v="10.5"/>
    <n v="5"/>
    <n v="12"/>
    <n v="630"/>
    <n v="3.47"/>
    <n v="626.53"/>
  </r>
  <r>
    <s v="67B45B4C"/>
    <m/>
    <m/>
    <s v="CUST3207"/>
    <s v="Ravi Brown"/>
    <s v="South Africa"/>
    <s v="Ahmedabad"/>
    <s v="North Indian, Chinese"/>
    <s v="Shawarma"/>
    <n v="4729"/>
    <n v="40.79"/>
    <n v="3.6"/>
    <n v="12.09"/>
    <n v="2"/>
    <n v="9"/>
    <n v="217.62"/>
    <n v="6.98"/>
    <n v="210.64"/>
  </r>
  <r>
    <s v="200B0EC7"/>
    <m/>
    <m/>
    <s v="CUST3914"/>
    <s v="Priya Brown"/>
    <s v="Philippines"/>
    <s v="Ahmedabad"/>
    <s v="North Indian, Mughlai"/>
    <s v="Paneer Tikka"/>
    <n v="3904"/>
    <n v="23.16"/>
    <n v="4.9000000000000004"/>
    <n v="39.369999999999997"/>
    <n v="4"/>
    <n v="7"/>
    <n v="1102.3599999999999"/>
    <n v="1.32"/>
    <n v="1101.04"/>
  </r>
  <r>
    <s v="3D47D2F7"/>
    <m/>
    <m/>
    <s v="CUST9336"/>
    <s v="Sophia Brown"/>
    <s v="Brazil"/>
    <s v="Ahmedabad"/>
    <s v="North Indian, Mughlai"/>
    <s v="Chicken Biryani"/>
    <n v="2876"/>
    <n v="10.11"/>
    <n v="1.1000000000000001"/>
    <n v="32.07"/>
    <n v="1"/>
    <n v="9"/>
    <n v="288.63"/>
    <n v="7.28"/>
    <n v="281.35000000000002"/>
  </r>
  <r>
    <s v="EB2C7CD6"/>
    <m/>
    <m/>
    <s v="CUST4688"/>
    <s v="Ravi Lee"/>
    <s v="Singapore"/>
    <s v="Ahmedabad"/>
    <s v="North Indian"/>
    <s v="Sushi Platter"/>
    <n v="1474"/>
    <n v="12.17"/>
    <n v="4.0999999999999996"/>
    <n v="21.32"/>
    <n v="2"/>
    <n v="6"/>
    <n v="255.84"/>
    <n v="8.64"/>
    <n v="247.2"/>
  </r>
  <r>
    <s v="DBB4F9B1"/>
    <m/>
    <m/>
    <s v="CUST3662"/>
    <s v="John Brown"/>
    <s v="Brazil"/>
    <s v="Ahmedabad"/>
    <s v="Cafe"/>
    <s v="Grilled Sandwich"/>
    <n v="1273"/>
    <n v="48.68"/>
    <n v="4.5"/>
    <n v="16.71"/>
    <n v="1"/>
    <n v="20"/>
    <n v="334.20000000000005"/>
    <n v="3.86"/>
    <n v="330.34"/>
  </r>
  <r>
    <s v="B019A630"/>
    <m/>
    <m/>
    <s v="CUST8080"/>
    <s v="Kumar Taylor"/>
    <s v="Canada"/>
    <s v="Ahmedabad"/>
    <s v="Chinese"/>
    <s v="Sushi Platter"/>
    <n v="2551"/>
    <n v="25.56"/>
    <n v="2.1"/>
    <n v="13.47"/>
    <n v="4"/>
    <n v="18"/>
    <n v="969.84"/>
    <n v="9.1999999999999993"/>
    <n v="960.64"/>
  </r>
  <r>
    <s v="03F436C9"/>
    <m/>
    <m/>
    <s v="CUST3662"/>
    <s v="Sara Garcia"/>
    <s v="India"/>
    <s v="Ahmedabad"/>
    <s v="North Indian"/>
    <s v="Momos"/>
    <n v="3875"/>
    <n v="48.71"/>
    <n v="2.4"/>
    <n v="15.38"/>
    <n v="2"/>
    <n v="11"/>
    <n v="338.36"/>
    <n v="3.91"/>
    <n v="334.45"/>
  </r>
  <r>
    <s v="552295B7"/>
    <m/>
    <m/>
    <s v="CUST5811"/>
    <s v="Sophia Taylor"/>
    <s v="Australia"/>
    <s v="Ahmedabad"/>
    <s v="North Indian, Mughlai"/>
    <s v="Grilled Sandwich"/>
    <n v="530"/>
    <n v="44.56"/>
    <n v="2.5"/>
    <n v="37.44"/>
    <n v="1"/>
    <n v="20"/>
    <n v="748.8"/>
    <n v="6.31"/>
    <n v="742.49"/>
  </r>
  <r>
    <s v="F18FB683"/>
    <m/>
    <m/>
    <s v="CUST3665"/>
    <s v="Emily Khan"/>
    <s v="South Africa"/>
    <s v="Ahmedabad"/>
    <s v="North Indian, Chinese"/>
    <s v="Paneer Tikka"/>
    <n v="773"/>
    <n v="17.18"/>
    <n v="3.4"/>
    <n v="8.4"/>
    <n v="2"/>
    <n v="1"/>
    <n v="16.8"/>
    <n v="2.83"/>
    <n v="13.97"/>
  </r>
  <r>
    <s v="B9839CEA"/>
    <m/>
    <m/>
    <s v="CUST5520"/>
    <s v="Sophia Khan"/>
    <s v="New Zealand"/>
    <s v="Albany"/>
    <s v="Chinese"/>
    <s v="Tandoori Roti"/>
    <n v="3669"/>
    <n v="27.09"/>
    <n v="2.8"/>
    <n v="9.99"/>
    <n v="5"/>
    <n v="6"/>
    <n v="299.70000000000005"/>
    <n v="8.33"/>
    <n v="291.37"/>
  </r>
  <r>
    <s v="B5124DEC"/>
    <m/>
    <m/>
    <s v="CUST5278"/>
    <s v="Ravi Singh"/>
    <s v="Canada"/>
    <s v="Albany"/>
    <s v="North Indian, Mughlai"/>
    <s v="Tandoori Roti"/>
    <n v="1724"/>
    <n v="37.69"/>
    <n v="2.7"/>
    <n v="20.12"/>
    <n v="4"/>
    <n v="15"/>
    <n v="1207.2"/>
    <n v="7.45"/>
    <n v="1199.75"/>
  </r>
  <r>
    <s v="1F4975BD"/>
    <m/>
    <m/>
    <s v="CUST3004"/>
    <s v="Kumar Das"/>
    <s v="Brazil"/>
    <s v="Albany"/>
    <s v="Cafe"/>
    <s v="Shawarma"/>
    <n v="2348"/>
    <n v="15.34"/>
    <n v="2.1"/>
    <n v="30.32"/>
    <n v="5"/>
    <n v="19"/>
    <n v="2880.4"/>
    <n v="2.1800000000000002"/>
    <n v="2878.22"/>
  </r>
  <r>
    <s v="16DFA64A"/>
    <m/>
    <m/>
    <s v="CUST6187"/>
    <s v="John Garcia"/>
    <s v="Indonesia"/>
    <s v="Albany"/>
    <s v="North Indian, Mughlai"/>
    <s v="Margherita Pizza"/>
    <n v="1315"/>
    <n v="40.86"/>
    <n v="1.2"/>
    <n v="15.6"/>
    <n v="4"/>
    <n v="13"/>
    <n v="811.19999999999993"/>
    <n v="7.49"/>
    <n v="803.71"/>
  </r>
  <r>
    <s v="A3A0BF69"/>
    <m/>
    <m/>
    <s v="CUST2523"/>
    <s v="Priya Taylor"/>
    <s v="Singapore"/>
    <s v="Albany"/>
    <s v="North Indian"/>
    <s v="Margherita Pizza"/>
    <n v="626"/>
    <n v="45.27"/>
    <n v="2.2999999999999998"/>
    <n v="26.52"/>
    <n v="2"/>
    <n v="6"/>
    <n v="318.24"/>
    <n v="2.72"/>
    <n v="315.52"/>
  </r>
  <r>
    <s v="37C88417"/>
    <m/>
    <m/>
    <s v="CUST3918"/>
    <s v="Ahmed Smith"/>
    <s v="South Africa"/>
    <s v="Albany"/>
    <s v="North Indian"/>
    <s v="Cheeseburger"/>
    <n v="1334"/>
    <n v="19.12"/>
    <n v="3.7"/>
    <n v="7.5"/>
    <n v="3"/>
    <n v="6"/>
    <n v="135"/>
    <n v="8.43"/>
    <n v="126.57"/>
  </r>
  <r>
    <s v="EFF53F9F"/>
    <m/>
    <m/>
    <s v="CUST2171"/>
    <s v="Ahmed Brown"/>
    <s v="Philippines"/>
    <s v="Albany"/>
    <s v="Chinese"/>
    <s v="Momos"/>
    <n v="1482"/>
    <n v="49.43"/>
    <n v="3.3"/>
    <n v="31.51"/>
    <n v="1"/>
    <n v="19"/>
    <n v="598.69000000000005"/>
    <n v="9.5399999999999991"/>
    <n v="589.15"/>
  </r>
  <r>
    <s v="4F379EDA"/>
    <m/>
    <m/>
    <s v="CUST8632"/>
    <s v="John Brown"/>
    <s v="India"/>
    <s v="Albany"/>
    <s v="North Indian, Mughlai"/>
    <s v="Cheeseburger"/>
    <n v="2764"/>
    <n v="28.72"/>
    <n v="2.7"/>
    <n v="37.340000000000003"/>
    <n v="3"/>
    <n v="18"/>
    <n v="2016.3600000000001"/>
    <n v="4.3099999999999996"/>
    <n v="2012.05"/>
  </r>
  <r>
    <s v="1F530B23"/>
    <m/>
    <m/>
    <s v="CUST4821"/>
    <s v="David Das"/>
    <s v="Singapore"/>
    <s v="Albany"/>
    <s v="North Indian, Chinese"/>
    <s v="Tandoori Roti"/>
    <n v="4107"/>
    <n v="13.5"/>
    <n v="1.4"/>
    <n v="17.489999999999998"/>
    <n v="1"/>
    <n v="10"/>
    <n v="174.89999999999998"/>
    <n v="1.49"/>
    <n v="173.41"/>
  </r>
  <r>
    <s v="84BA68D0"/>
    <m/>
    <m/>
    <s v="CUST5460"/>
    <s v="Priya Sharma"/>
    <s v="Indonesia"/>
    <s v="Albany"/>
    <s v="Chinese"/>
    <s v="Margherita Pizza"/>
    <n v="3895"/>
    <n v="13.49"/>
    <n v="4.7"/>
    <n v="15.65"/>
    <n v="2"/>
    <n v="6"/>
    <n v="187.8"/>
    <n v="6.71"/>
    <n v="181.09"/>
  </r>
  <r>
    <s v="8A95B839"/>
    <m/>
    <m/>
    <s v="CUST1801"/>
    <s v="David Patel"/>
    <s v="Qatar"/>
    <s v="Albany"/>
    <s v="Chinese"/>
    <s v="Cheeseburger"/>
    <n v="593"/>
    <n v="46.9"/>
    <n v="4.5"/>
    <n v="12.86"/>
    <n v="2"/>
    <n v="10"/>
    <n v="257.2"/>
    <n v="3.97"/>
    <n v="253.23"/>
  </r>
  <r>
    <s v="0A380993"/>
    <m/>
    <m/>
    <s v="CUST9963"/>
    <s v="Anita Taylor"/>
    <s v="India"/>
    <s v="Albany"/>
    <s v="North Indian, Chinese"/>
    <s v="Sushi Platter"/>
    <n v="1561"/>
    <n v="20.03"/>
    <n v="1.1000000000000001"/>
    <n v="27.22"/>
    <n v="4"/>
    <n v="7"/>
    <n v="762.16"/>
    <n v="0.08"/>
    <n v="762.08"/>
  </r>
  <r>
    <s v="15D7BB4B"/>
    <m/>
    <m/>
    <s v="CUST4558"/>
    <s v="Sara Patel"/>
    <s v="India"/>
    <s v="Albany"/>
    <s v="Chinese"/>
    <s v="Paneer Tikka"/>
    <n v="3522"/>
    <n v="29.66"/>
    <n v="3.4"/>
    <n v="5.76"/>
    <n v="1"/>
    <n v="15"/>
    <n v="86.399999999999991"/>
    <n v="9.2100000000000009"/>
    <n v="77.19"/>
  </r>
  <r>
    <s v="AD387B37"/>
    <m/>
    <m/>
    <s v="CUST1733"/>
    <s v="Priya Khan"/>
    <s v="Singapore"/>
    <s v="Albany"/>
    <s v="Chinese"/>
    <s v="Pasta Alfredo"/>
    <n v="4487"/>
    <n v="12.91"/>
    <n v="1.3"/>
    <n v="31.56"/>
    <n v="1"/>
    <n v="20"/>
    <n v="631.19999999999993"/>
    <n v="9.98"/>
    <n v="621.22"/>
  </r>
  <r>
    <s v="E9FCE937"/>
    <m/>
    <m/>
    <s v="CUST8456"/>
    <s v="David Smith"/>
    <s v="Brazil"/>
    <s v="Albany"/>
    <s v="North Indian, Chinese"/>
    <s v="Paneer Tikka"/>
    <n v="3757"/>
    <n v="21.18"/>
    <n v="4.3"/>
    <n v="36.72"/>
    <n v="4"/>
    <n v="15"/>
    <n v="2203.1999999999998"/>
    <n v="8.06"/>
    <n v="2195.14"/>
  </r>
  <r>
    <s v="9F87028F"/>
    <m/>
    <m/>
    <s v="CUST4858"/>
    <s v="Ravi Taylor"/>
    <s v="Philippines"/>
    <s v="Allahabad"/>
    <s v="North Indian, Chinese"/>
    <s v="Shawarma"/>
    <n v="4563"/>
    <n v="27.56"/>
    <n v="3.4"/>
    <n v="32.01"/>
    <n v="4"/>
    <n v="2"/>
    <n v="256.08"/>
    <n v="7.75"/>
    <n v="248.33"/>
  </r>
  <r>
    <s v="7F6D43F6"/>
    <m/>
    <m/>
    <s v="CUST2252"/>
    <s v="Anita Smith"/>
    <s v="India"/>
    <s v="Allahabad"/>
    <s v="North Indian"/>
    <s v="Masala Dosa"/>
    <n v="4031"/>
    <n v="15.69"/>
    <n v="2.5"/>
    <n v="34.450000000000003"/>
    <n v="5"/>
    <n v="18"/>
    <n v="3100.5"/>
    <n v="2.68"/>
    <n v="3097.82"/>
  </r>
  <r>
    <s v="9E6DF523"/>
    <m/>
    <m/>
    <s v="CUST6539"/>
    <s v="Sara Lee"/>
    <s v="Singapore"/>
    <s v="Allahabad"/>
    <s v="North Indian, Mughlai"/>
    <s v="Shawarma"/>
    <n v="3671"/>
    <n v="23.04"/>
    <n v="2.5"/>
    <n v="39.979999999999997"/>
    <n v="1"/>
    <n v="5"/>
    <n v="199.89999999999998"/>
    <n v="5.23"/>
    <n v="194.67"/>
  </r>
  <r>
    <s v="1F60A01B"/>
    <m/>
    <m/>
    <s v="CUST5586"/>
    <s v="Priya Singh"/>
    <s v="Indonesia"/>
    <s v="Allahabad"/>
    <s v="North Indian, Mughlai"/>
    <s v="Sushi Platter"/>
    <n v="354"/>
    <n v="39.450000000000003"/>
    <n v="2.2999999999999998"/>
    <n v="6.73"/>
    <n v="3"/>
    <n v="3"/>
    <n v="60.570000000000007"/>
    <n v="0.93"/>
    <n v="59.64"/>
  </r>
  <r>
    <s v="08347F98"/>
    <m/>
    <m/>
    <s v="CUST4923"/>
    <s v="Emily Lee"/>
    <s v="Indonesia"/>
    <s v="Allahabad"/>
    <s v="North Indian"/>
    <s v="Grilled Sandwich"/>
    <n v="2666"/>
    <n v="25.33"/>
    <n v="3.6"/>
    <n v="14.2"/>
    <n v="3"/>
    <n v="13"/>
    <n v="553.79999999999995"/>
    <n v="7.17"/>
    <n v="546.63"/>
  </r>
  <r>
    <s v="BB769EA3"/>
    <m/>
    <m/>
    <s v="CUST5897"/>
    <s v="Ravi Brown"/>
    <s v="Australia"/>
    <s v="Allahabad"/>
    <s v="North Indian"/>
    <s v="Tandoori Roti"/>
    <n v="2026"/>
    <n v="13.76"/>
    <n v="3.5"/>
    <n v="8.0299999999999994"/>
    <n v="1"/>
    <n v="11"/>
    <n v="88.33"/>
    <n v="0.68"/>
    <n v="87.65"/>
  </r>
  <r>
    <s v="C29E6BB0"/>
    <m/>
    <m/>
    <s v="CUST9582"/>
    <s v="Anita Sharma"/>
    <s v="Singapore"/>
    <s v="Allahabad"/>
    <s v="North Indian, Chinese"/>
    <s v="Chicken Biryani"/>
    <n v="789"/>
    <n v="39.64"/>
    <n v="2.8"/>
    <n v="24.28"/>
    <n v="4"/>
    <n v="10"/>
    <n v="971.2"/>
    <n v="2.38"/>
    <n v="968.82"/>
  </r>
  <r>
    <s v="98E9D0DC"/>
    <m/>
    <m/>
    <s v="CUST8017"/>
    <s v="Ahmed Taylor"/>
    <s v="Philippines"/>
    <s v="Allahabad"/>
    <s v="North Indian, Mughlai"/>
    <s v="Momos"/>
    <n v="4205"/>
    <n v="28.76"/>
    <n v="1.2"/>
    <n v="26.46"/>
    <n v="5"/>
    <n v="19"/>
    <n v="2513.7000000000003"/>
    <n v="3.32"/>
    <n v="2510.38"/>
  </r>
  <r>
    <s v="0D40839E"/>
    <m/>
    <m/>
    <s v="CUST6591"/>
    <s v="Ahmed Singh"/>
    <s v="India"/>
    <s v="Allahabad"/>
    <s v="North Indian"/>
    <s v="Veg Biryani"/>
    <n v="1149"/>
    <n v="14.35"/>
    <n v="4.5999999999999996"/>
    <n v="17.79"/>
    <n v="3"/>
    <n v="13"/>
    <n v="693.81"/>
    <n v="4.93"/>
    <n v="688.88"/>
  </r>
  <r>
    <s v="7BE5DD6E"/>
    <m/>
    <m/>
    <s v="CUST6303"/>
    <s v="Ahmed Taylor"/>
    <s v="Qatar"/>
    <s v="Allahabad"/>
    <s v="North Indian, Mughlai"/>
    <s v="Veg Biryani"/>
    <n v="3101"/>
    <n v="41.18"/>
    <n v="1.8"/>
    <n v="10.9"/>
    <n v="3"/>
    <n v="13"/>
    <n v="425.1"/>
    <n v="0.12"/>
    <n v="424.98"/>
  </r>
  <r>
    <s v="0C8EA7C3"/>
    <m/>
    <m/>
    <s v="CUST7836"/>
    <s v="Priya Singh"/>
    <s v="Australia"/>
    <s v="Amritsar"/>
    <s v="North Indian, Mughlai"/>
    <s v="Pasta Alfredo"/>
    <n v="1977"/>
    <n v="32.549999999999997"/>
    <n v="4.7"/>
    <n v="22.1"/>
    <n v="1"/>
    <n v="16"/>
    <n v="353.6"/>
    <n v="3.69"/>
    <n v="349.91"/>
  </r>
  <r>
    <s v="ADBD202C"/>
    <m/>
    <m/>
    <s v="CUST6939"/>
    <s v="Anita Smith"/>
    <s v="Qatar"/>
    <s v="Amritsar"/>
    <s v="North Indian, Mughlai"/>
    <s v="Masala Dosa"/>
    <n v="198"/>
    <n v="28.24"/>
    <n v="1.3"/>
    <n v="23.53"/>
    <n v="2"/>
    <n v="14"/>
    <n v="658.84"/>
    <n v="0.27"/>
    <n v="658.57"/>
  </r>
  <r>
    <s v="E84C5A0A"/>
    <m/>
    <m/>
    <s v="CUST5771"/>
    <s v="John Khan"/>
    <s v="Australia"/>
    <s v="Amritsar"/>
    <s v="North Indian, Chinese"/>
    <s v="Butter Chicken"/>
    <n v="293"/>
    <n v="49.61"/>
    <n v="3.3"/>
    <n v="14.16"/>
    <n v="1"/>
    <n v="9"/>
    <n v="127.44"/>
    <n v="0.95"/>
    <n v="126.49"/>
  </r>
  <r>
    <s v="031DB3AB"/>
    <m/>
    <m/>
    <s v="CUST1298"/>
    <s v="Priya Lee"/>
    <s v="Singapore"/>
    <s v="Amritsar"/>
    <s v="North Indian, Chinese"/>
    <s v="Momos"/>
    <n v="3407"/>
    <n v="39.15"/>
    <n v="4.9000000000000004"/>
    <n v="35.03"/>
    <n v="2"/>
    <n v="20"/>
    <n v="1401.2"/>
    <n v="5.09"/>
    <n v="1396.11"/>
  </r>
  <r>
    <s v="D04162AF"/>
    <m/>
    <m/>
    <s v="CUST8296"/>
    <s v="David Patel"/>
    <s v="Brazil"/>
    <s v="Amritsar"/>
    <s v="North Indian"/>
    <s v="Masala Dosa"/>
    <n v="4836"/>
    <n v="22.54"/>
    <n v="4.5"/>
    <n v="31.24"/>
    <n v="1"/>
    <n v="18"/>
    <n v="562.31999999999994"/>
    <n v="0.92"/>
    <n v="561.4"/>
  </r>
  <r>
    <s v="C231663B"/>
    <m/>
    <m/>
    <s v="CUST2988"/>
    <s v="John Patel"/>
    <s v="Brazil"/>
    <s v="Amritsar"/>
    <s v="Chinese"/>
    <s v="Fried Rice"/>
    <n v="1413"/>
    <n v="8.25"/>
    <n v="1"/>
    <n v="7.28"/>
    <n v="5"/>
    <n v="12"/>
    <n v="436.79999999999995"/>
    <n v="0.84"/>
    <n v="435.96"/>
  </r>
  <r>
    <s v="CC750671"/>
    <m/>
    <m/>
    <s v="CUST8387"/>
    <s v="Emily Singh"/>
    <s v="Australia"/>
    <s v="Amritsar"/>
    <s v="Cafe"/>
    <s v="Pasta Alfredo"/>
    <n v="1952"/>
    <n v="10.3"/>
    <n v="3.7"/>
    <n v="7.29"/>
    <n v="4"/>
    <n v="17"/>
    <n v="495.72"/>
    <n v="4.66"/>
    <n v="491.06"/>
  </r>
  <r>
    <s v="6CA6D290"/>
    <m/>
    <m/>
    <s v="CUST3489"/>
    <s v="Ravi Sharma"/>
    <s v="Brazil"/>
    <s v="Amritsar"/>
    <s v="North Indian, Mughlai"/>
    <s v="Paneer Tikka"/>
    <n v="2288"/>
    <n v="45.68"/>
    <n v="3.8"/>
    <n v="17.850000000000001"/>
    <n v="4"/>
    <n v="12"/>
    <n v="856.80000000000007"/>
    <n v="5.78"/>
    <n v="851.02"/>
  </r>
  <r>
    <s v="6B100570"/>
    <m/>
    <m/>
    <s v="CUST3712"/>
    <s v="David Smith"/>
    <s v="Australia"/>
    <s v="Amritsar"/>
    <s v="North Indian, Chinese"/>
    <s v="Veg Biryani"/>
    <n v="1051"/>
    <n v="46.24"/>
    <n v="2.4"/>
    <n v="36.020000000000003"/>
    <n v="5"/>
    <n v="8"/>
    <n v="1440.8000000000002"/>
    <n v="9.4"/>
    <n v="1431.4"/>
  </r>
  <r>
    <s v="48D22CC8"/>
    <m/>
    <m/>
    <s v="CUST8925"/>
    <s v="Kumar Garcia"/>
    <s v="Australia"/>
    <s v="Amritsar"/>
    <s v="North Indian, Mughlai"/>
    <s v="Tandoori Roti"/>
    <n v="158"/>
    <n v="31.24"/>
    <n v="2.2999999999999998"/>
    <n v="27.67"/>
    <n v="3"/>
    <n v="2"/>
    <n v="166.02"/>
    <n v="3.51"/>
    <n v="162.51"/>
  </r>
  <r>
    <s v="EE8A8AB9"/>
    <m/>
    <m/>
    <s v="CUST8976"/>
    <s v="Emily Patel"/>
    <s v="Philippines"/>
    <s v="Amritsar"/>
    <s v="Chinese"/>
    <s v="Paneer Tikka"/>
    <n v="1739"/>
    <n v="28.42"/>
    <n v="2"/>
    <n v="8.99"/>
    <n v="5"/>
    <n v="19"/>
    <n v="854.05000000000007"/>
    <n v="7.67"/>
    <n v="846.38"/>
  </r>
  <r>
    <s v="82657C8F"/>
    <m/>
    <m/>
    <s v="CUST4993"/>
    <s v="Sophia Taylor"/>
    <s v="Canada"/>
    <s v="Ankara"/>
    <s v="North Indian"/>
    <s v="Momos"/>
    <n v="3555"/>
    <n v="49.93"/>
    <n v="2.6"/>
    <n v="36.44"/>
    <n v="2"/>
    <n v="6"/>
    <n v="437.28"/>
    <n v="7.71"/>
    <n v="429.57"/>
  </r>
  <r>
    <s v="8CA04517"/>
    <m/>
    <m/>
    <s v="CUST6932"/>
    <s v="Priya Sharma"/>
    <s v="New Zealand"/>
    <s v="Ankara"/>
    <s v="North Indian"/>
    <s v="Veg Biryani"/>
    <n v="1616"/>
    <n v="26.7"/>
    <n v="2.1"/>
    <n v="9.08"/>
    <n v="5"/>
    <n v="6"/>
    <n v="272.39999999999998"/>
    <n v="2.5299999999999998"/>
    <n v="269.87"/>
  </r>
  <r>
    <s v="A8DD92F7"/>
    <m/>
    <m/>
    <s v="CUST2520"/>
    <s v="Priya Lee"/>
    <s v="India"/>
    <s v="Ankara"/>
    <s v="North Indian, Chinese"/>
    <s v="Chicken Biryani"/>
    <n v="1372"/>
    <n v="47.75"/>
    <n v="2"/>
    <n v="24.3"/>
    <n v="4"/>
    <n v="6"/>
    <n v="583.20000000000005"/>
    <n v="0.98"/>
    <n v="582.22"/>
  </r>
  <r>
    <s v="0B4CC7CF"/>
    <m/>
    <m/>
    <s v="CUST8261"/>
    <s v="Emily Patel"/>
    <s v="New Zealand"/>
    <s v="Ankara"/>
    <s v="North Indian"/>
    <s v="Grilled Sandwich"/>
    <n v="4987"/>
    <n v="27.22"/>
    <n v="2.6"/>
    <n v="10.85"/>
    <n v="4"/>
    <n v="4"/>
    <n v="173.6"/>
    <n v="9.9"/>
    <n v="163.69999999999999"/>
  </r>
  <r>
    <s v="41E9B6CE"/>
    <m/>
    <m/>
    <s v="CUST3445"/>
    <s v="Kumar Garcia"/>
    <s v="Australia"/>
    <s v="Ankara"/>
    <s v="North Indian"/>
    <s v="Margherita Pizza"/>
    <n v="3583"/>
    <n v="25.74"/>
    <n v="1.5"/>
    <n v="34.35"/>
    <n v="4"/>
    <n v="15"/>
    <n v="2061"/>
    <n v="6.98"/>
    <n v="2054.02"/>
  </r>
  <r>
    <s v="CE44E762"/>
    <m/>
    <m/>
    <s v="CUST9172"/>
    <s v="Priya Singh"/>
    <s v="Philippines"/>
    <s v="Ankara"/>
    <s v="Chinese"/>
    <s v="Veg Biryani"/>
    <n v="3790"/>
    <n v="32.26"/>
    <n v="1.3"/>
    <n v="18.079999999999998"/>
    <n v="5"/>
    <n v="8"/>
    <n v="723.19999999999993"/>
    <n v="6.39"/>
    <n v="716.81"/>
  </r>
  <r>
    <s v="4D9C8234"/>
    <m/>
    <m/>
    <s v="CUST1267"/>
    <s v="Emily Patel"/>
    <s v="Brazil"/>
    <s v="Ankara"/>
    <s v="North Indian, Chinese"/>
    <s v="Veg Biryani"/>
    <n v="3675"/>
    <n v="48.07"/>
    <n v="1.5"/>
    <n v="32.21"/>
    <n v="2"/>
    <n v="7"/>
    <n v="450.94"/>
    <n v="5.83"/>
    <n v="445.11"/>
  </r>
  <r>
    <s v="60B97092"/>
    <m/>
    <m/>
    <s v="CUST1425"/>
    <s v="Ahmed Brown"/>
    <s v="Australia"/>
    <s v="Ankara"/>
    <s v="North Indian"/>
    <s v="Pasta Alfredo"/>
    <n v="1120"/>
    <n v="17.11"/>
    <n v="1.9"/>
    <n v="36.409999999999997"/>
    <n v="3"/>
    <n v="18"/>
    <n v="1966.1399999999999"/>
    <n v="1.1599999999999999"/>
    <n v="1964.98"/>
  </r>
  <r>
    <s v="5449B0D5"/>
    <m/>
    <m/>
    <s v="CUST3255"/>
    <s v="Emily Khan"/>
    <s v="Philippines"/>
    <s v="Ankara"/>
    <s v="North Indian, Mughlai"/>
    <s v="Grilled Sandwich"/>
    <n v="143"/>
    <n v="35.270000000000003"/>
    <n v="1.6"/>
    <n v="13.58"/>
    <n v="4"/>
    <n v="11"/>
    <n v="597.52"/>
    <n v="3.6"/>
    <n v="593.91999999999996"/>
  </r>
  <r>
    <s v="CF984FC1"/>
    <m/>
    <m/>
    <s v="CUST7507"/>
    <s v="Ahmed Taylor"/>
    <s v="Australia"/>
    <s v="Ankara"/>
    <s v="North Indian"/>
    <s v="Tandoori Roti"/>
    <n v="2950"/>
    <n v="12.37"/>
    <n v="2.7"/>
    <n v="25.43"/>
    <n v="2"/>
    <n v="19"/>
    <n v="966.34"/>
    <n v="1.55"/>
    <n v="964.79"/>
  </r>
  <r>
    <s v="8865CF19"/>
    <m/>
    <m/>
    <s v="CUST9248"/>
    <s v="Ahmed Singh"/>
    <s v="Canada"/>
    <s v="Ankara"/>
    <s v="North Indian"/>
    <s v="Cheeseburger"/>
    <n v="4809"/>
    <n v="7.57"/>
    <n v="2.6"/>
    <n v="24.72"/>
    <n v="5"/>
    <n v="16"/>
    <n v="1977.6"/>
    <n v="1.31"/>
    <n v="1976.29"/>
  </r>
  <r>
    <s v="91C1DFE7"/>
    <m/>
    <m/>
    <s v="CUST5561"/>
    <s v="Sophia Khan"/>
    <s v="New Zealand"/>
    <s v="Ankara"/>
    <s v="North Indian"/>
    <s v="Tandoori Roti"/>
    <n v="979"/>
    <n v="39.130000000000003"/>
    <n v="4.9000000000000004"/>
    <n v="12"/>
    <n v="3"/>
    <n v="7"/>
    <n v="252"/>
    <n v="1.29"/>
    <n v="250.71"/>
  </r>
  <r>
    <s v="411C25C5"/>
    <m/>
    <m/>
    <s v="CUST8111"/>
    <s v="Priya Lee"/>
    <s v="Brazil"/>
    <s v="Athens"/>
    <s v="North Indian, Mughlai"/>
    <s v="Cheeseburger"/>
    <n v="1856"/>
    <n v="49.52"/>
    <n v="3.4"/>
    <n v="7.44"/>
    <n v="4"/>
    <n v="3"/>
    <n v="89.28"/>
    <n v="9.94"/>
    <n v="79.34"/>
  </r>
  <r>
    <s v="8A3AC05E"/>
    <m/>
    <m/>
    <s v="CUST7318"/>
    <s v="Ahmed Garcia"/>
    <s v="Brazil"/>
    <s v="Athens"/>
    <s v="North Indian, Mughlai"/>
    <s v="Chicken Biryani"/>
    <n v="4602"/>
    <n v="30.88"/>
    <n v="2.1"/>
    <n v="18.079999999999998"/>
    <n v="5"/>
    <n v="1"/>
    <n v="90.399999999999991"/>
    <n v="5.86"/>
    <n v="84.54"/>
  </r>
  <r>
    <s v="6F96A0A4"/>
    <m/>
    <m/>
    <s v="CUST9393"/>
    <s v="Sara Khan"/>
    <s v="Indonesia"/>
    <s v="Athens"/>
    <s v="Chinese"/>
    <s v="Margherita Pizza"/>
    <n v="4560"/>
    <n v="22.99"/>
    <n v="3.4"/>
    <n v="32.450000000000003"/>
    <n v="5"/>
    <n v="19"/>
    <n v="3082.75"/>
    <n v="5.82"/>
    <n v="3076.93"/>
  </r>
  <r>
    <s v="2A2F31CF"/>
    <m/>
    <m/>
    <s v="CUST5872"/>
    <s v="Ahmed Singh"/>
    <s v="Brazil"/>
    <s v="Athens"/>
    <s v="North Indian, Chinese"/>
    <s v="Masala Dosa"/>
    <n v="2030"/>
    <n v="8.4600000000000009"/>
    <n v="4"/>
    <n v="17.760000000000002"/>
    <n v="5"/>
    <n v="14"/>
    <n v="1243.2000000000003"/>
    <n v="9.24"/>
    <n v="1233.96"/>
  </r>
  <r>
    <s v="3969F67B"/>
    <m/>
    <m/>
    <s v="CUST5421"/>
    <s v="Priya Lee"/>
    <s v="New Zealand"/>
    <s v="Athens"/>
    <s v="North Indian, Mughlai"/>
    <s v="Pasta Alfredo"/>
    <n v="4122"/>
    <n v="49.42"/>
    <n v="1.7"/>
    <n v="31.48"/>
    <n v="3"/>
    <n v="12"/>
    <n v="1133.28"/>
    <n v="1.77"/>
    <n v="1131.51"/>
  </r>
  <r>
    <s v="D4BC67BB"/>
    <m/>
    <m/>
    <s v="CUST2881"/>
    <s v="Anita Smith"/>
    <s v="Philippines"/>
    <s v="Athens"/>
    <s v="North Indian, Chinese"/>
    <s v="Shawarma"/>
    <n v="595"/>
    <n v="37.74"/>
    <n v="2.7"/>
    <n v="32.65"/>
    <n v="4"/>
    <n v="5"/>
    <n v="653"/>
    <n v="8.89"/>
    <n v="644.11"/>
  </r>
  <r>
    <s v="509C99EB"/>
    <m/>
    <m/>
    <s v="CUST3722"/>
    <s v="David Singh"/>
    <s v="Qatar"/>
    <s v="Athens"/>
    <s v="North Indian"/>
    <s v="Tandoori Roti"/>
    <n v="3607"/>
    <n v="47.52"/>
    <n v="1.3"/>
    <n v="22.71"/>
    <n v="5"/>
    <n v="4"/>
    <n v="454.20000000000005"/>
    <n v="8.86"/>
    <n v="445.34"/>
  </r>
  <r>
    <s v="D23CD564"/>
    <m/>
    <m/>
    <s v="CUST6107"/>
    <s v="John Garcia"/>
    <s v="Australia"/>
    <s v="Athens"/>
    <s v="North Indian"/>
    <s v="Grilled Sandwich"/>
    <n v="4729"/>
    <n v="41.78"/>
    <n v="2.5"/>
    <n v="29.05"/>
    <n v="3"/>
    <n v="5"/>
    <n v="435.75"/>
    <n v="2.76"/>
    <n v="432.99"/>
  </r>
  <r>
    <s v="DD273A8D"/>
    <m/>
    <m/>
    <s v="CUST9586"/>
    <s v="Sara Khan"/>
    <s v="New Zealand"/>
    <s v="Athens"/>
    <s v="Cafe"/>
    <s v="Paneer Tikka"/>
    <n v="648"/>
    <n v="27.7"/>
    <n v="4.9000000000000004"/>
    <n v="24.5"/>
    <n v="3"/>
    <n v="14"/>
    <n v="1029"/>
    <n v="6.33"/>
    <n v="1022.67"/>
  </r>
  <r>
    <s v="A450966A"/>
    <m/>
    <m/>
    <s v="CUST2953"/>
    <s v="David Smith"/>
    <s v="Canada"/>
    <s v="Athens"/>
    <s v="North Indian, Chinese"/>
    <s v="Tandoori Roti"/>
    <n v="1761"/>
    <n v="20.73"/>
    <n v="2.2000000000000002"/>
    <n v="38.03"/>
    <n v="5"/>
    <n v="11"/>
    <n v="2091.65"/>
    <n v="0.21"/>
    <n v="2091.44"/>
  </r>
  <r>
    <s v="A98F5803"/>
    <m/>
    <m/>
    <s v="CUST9009"/>
    <s v="Emily Das"/>
    <s v="South Africa"/>
    <s v="Athens"/>
    <s v="North Indian"/>
    <s v="Masala Dosa"/>
    <n v="1507"/>
    <n v="36.26"/>
    <n v="1.3"/>
    <n v="11.49"/>
    <n v="1"/>
    <n v="16"/>
    <n v="183.84"/>
    <n v="9.58"/>
    <n v="174.26"/>
  </r>
  <r>
    <s v="5619704E"/>
    <m/>
    <m/>
    <s v="CUST1407"/>
    <s v="John Das"/>
    <s v="Philippines"/>
    <s v="Athens"/>
    <s v="North Indian"/>
    <s v="Sushi Platter"/>
    <n v="1785"/>
    <n v="30.71"/>
    <n v="3.7"/>
    <n v="22.7"/>
    <n v="3"/>
    <n v="11"/>
    <n v="749.09999999999991"/>
    <n v="9.5299999999999994"/>
    <n v="739.57"/>
  </r>
  <r>
    <s v="E168BDF0"/>
    <m/>
    <m/>
    <s v="CUST8206"/>
    <s v="Sophia Garcia"/>
    <s v="India"/>
    <s v="Athens"/>
    <s v="North Indian, Chinese"/>
    <s v="Fried Rice"/>
    <n v="2670"/>
    <n v="21.68"/>
    <n v="1"/>
    <n v="38.71"/>
    <n v="5"/>
    <n v="18"/>
    <n v="3483.9"/>
    <n v="0.3"/>
    <n v="3483.6"/>
  </r>
  <r>
    <s v="F41E7ED9"/>
    <m/>
    <m/>
    <s v="CUST4171"/>
    <s v="Sophia Garcia"/>
    <s v="Philippines"/>
    <s v="Auckland"/>
    <s v="North Indian, Chinese"/>
    <s v="Tandoori Roti"/>
    <n v="3288"/>
    <n v="15.99"/>
    <n v="2"/>
    <n v="19.579999999999998"/>
    <n v="3"/>
    <n v="13"/>
    <n v="763.61999999999989"/>
    <n v="6"/>
    <n v="757.62"/>
  </r>
  <r>
    <s v="D22E4916"/>
    <m/>
    <m/>
    <s v="CUST6914"/>
    <s v="Kumar Khan"/>
    <s v="Qatar"/>
    <s v="Auckland"/>
    <s v="North Indian, Mughlai"/>
    <s v="Margherita Pizza"/>
    <n v="4665"/>
    <n v="36.549999999999997"/>
    <n v="1.5"/>
    <n v="11.11"/>
    <n v="2"/>
    <n v="9"/>
    <n v="199.98"/>
    <n v="0.31"/>
    <n v="199.67"/>
  </r>
  <r>
    <s v="E621D5FD"/>
    <m/>
    <m/>
    <s v="CUST5268"/>
    <s v="John Smith"/>
    <s v="Canada"/>
    <s v="Auckland"/>
    <s v="North Indian, Chinese"/>
    <s v="Pasta Alfredo"/>
    <n v="1230"/>
    <n v="18.170000000000002"/>
    <n v="3.4"/>
    <n v="26.78"/>
    <n v="2"/>
    <n v="15"/>
    <n v="803.40000000000009"/>
    <n v="8.86"/>
    <n v="794.54"/>
  </r>
  <r>
    <s v="3A6BDB3F"/>
    <m/>
    <m/>
    <s v="CUST7032"/>
    <s v="Sophia Taylor"/>
    <s v="Australia"/>
    <s v="Auckland"/>
    <s v="North Indian, Chinese"/>
    <s v="Cheeseburger"/>
    <n v="1318"/>
    <n v="27"/>
    <n v="1.9"/>
    <n v="19.350000000000001"/>
    <n v="5"/>
    <n v="2"/>
    <n v="193.5"/>
    <n v="0.83"/>
    <n v="192.67"/>
  </r>
  <r>
    <s v="138F08DF"/>
    <m/>
    <m/>
    <s v="CUST5139"/>
    <s v="Sara Smith"/>
    <s v="South Africa"/>
    <s v="Auckland"/>
    <s v="Cafe"/>
    <s v="Masala Dosa"/>
    <n v="4080"/>
    <n v="8.91"/>
    <n v="4"/>
    <n v="34.06"/>
    <n v="1"/>
    <n v="12"/>
    <n v="408.72"/>
    <n v="5.0199999999999996"/>
    <n v="403.7"/>
  </r>
  <r>
    <s v="1851D120"/>
    <m/>
    <m/>
    <s v="CUST2177"/>
    <s v="Priya Taylor"/>
    <s v="Philippines"/>
    <s v="Auckland"/>
    <s v="North Indian, Mughlai"/>
    <s v="Momos"/>
    <n v="2296"/>
    <n v="8.6199999999999992"/>
    <n v="3"/>
    <n v="31.5"/>
    <n v="4"/>
    <n v="10"/>
    <n v="1260"/>
    <n v="7.62"/>
    <n v="1252.3800000000001"/>
  </r>
  <r>
    <s v="21AB808D"/>
    <m/>
    <m/>
    <s v="CUST6811"/>
    <s v="Sophia Patel"/>
    <s v="Australia"/>
    <s v="Auckland"/>
    <s v="North Indian, Chinese"/>
    <s v="Cheeseburger"/>
    <n v="790"/>
    <n v="20.6"/>
    <n v="2.2999999999999998"/>
    <n v="37.56"/>
    <n v="2"/>
    <n v="9"/>
    <n v="676.08"/>
    <n v="9.7200000000000006"/>
    <n v="666.36"/>
  </r>
  <r>
    <s v="1948236C"/>
    <m/>
    <m/>
    <s v="CUST9200"/>
    <s v="Emily Taylor"/>
    <s v="Australia"/>
    <s v="Auckland"/>
    <s v="North Indian, Chinese"/>
    <s v="Grilled Sandwich"/>
    <n v="1850"/>
    <n v="36.43"/>
    <n v="1.7"/>
    <n v="38.31"/>
    <n v="3"/>
    <n v="13"/>
    <n v="1494.0900000000001"/>
    <n v="8.0299999999999994"/>
    <n v="1486.06"/>
  </r>
  <r>
    <s v="FA72BED5"/>
    <m/>
    <m/>
    <s v="CUST4357"/>
    <s v="Kumar Sharma"/>
    <s v="Qatar"/>
    <s v="Auckland"/>
    <s v="North Indian, Mughlai"/>
    <s v="Shawarma"/>
    <n v="1230"/>
    <n v="39.1"/>
    <n v="3.7"/>
    <n v="25.75"/>
    <n v="5"/>
    <n v="13"/>
    <n v="1673.75"/>
    <n v="2.08"/>
    <n v="1671.67"/>
  </r>
  <r>
    <s v="257AB318"/>
    <m/>
    <m/>
    <s v="CUST9021"/>
    <s v="Sara Taylor"/>
    <s v="South Africa"/>
    <s v="Auckland"/>
    <s v="North Indian, Mughlai"/>
    <s v="Momos"/>
    <n v="3878"/>
    <n v="17.41"/>
    <n v="2.4"/>
    <n v="12.45"/>
    <n v="5"/>
    <n v="4"/>
    <n v="249"/>
    <n v="3.46"/>
    <n v="245.54"/>
  </r>
  <r>
    <s v="4FFA5324"/>
    <m/>
    <m/>
    <s v="CUST5803"/>
    <s v="Priya Brown"/>
    <s v="Canada"/>
    <s v="Auckland"/>
    <s v="Cafe"/>
    <s v="Paneer Tikka"/>
    <n v="4637"/>
    <n v="14.73"/>
    <n v="2.2000000000000002"/>
    <n v="28.78"/>
    <n v="3"/>
    <n v="16"/>
    <n v="1381.44"/>
    <n v="8.44"/>
    <n v="1373"/>
  </r>
  <r>
    <s v="C0CE94C2"/>
    <m/>
    <m/>
    <s v="CUST5330"/>
    <s v="Emily Das"/>
    <s v="New Zealand"/>
    <s v="Auckland"/>
    <s v="North Indian, Chinese"/>
    <s v="Chicken Biryani"/>
    <n v="3936"/>
    <n v="34.799999999999997"/>
    <n v="3.9"/>
    <n v="28.64"/>
    <n v="3"/>
    <n v="11"/>
    <n v="945.12"/>
    <n v="5.73"/>
    <n v="939.39"/>
  </r>
  <r>
    <s v="5DCDBAAE"/>
    <m/>
    <m/>
    <s v="CUST7934"/>
    <s v="Ahmed Garcia"/>
    <s v="Philippines"/>
    <s v="Auckland"/>
    <s v="Chinese"/>
    <s v="Cheeseburger"/>
    <n v="4315"/>
    <n v="46.61"/>
    <n v="3.9"/>
    <n v="39.119999999999997"/>
    <n v="4"/>
    <n v="16"/>
    <n v="2503.6799999999998"/>
    <n v="7.04"/>
    <n v="2496.64"/>
  </r>
  <r>
    <s v="D0AF89C4"/>
    <m/>
    <m/>
    <s v="CUST3214"/>
    <s v="David Singh"/>
    <s v="Singapore"/>
    <s v="Auckland"/>
    <s v="Chinese"/>
    <s v="Grilled Sandwich"/>
    <n v="1782"/>
    <n v="6.21"/>
    <n v="4.5999999999999996"/>
    <n v="36.950000000000003"/>
    <n v="4"/>
    <n v="13"/>
    <n v="1921.4"/>
    <n v="8.75"/>
    <n v="1912.65"/>
  </r>
  <r>
    <s v="BF852DBD"/>
    <m/>
    <m/>
    <s v="CUST3398"/>
    <s v="David Das"/>
    <s v="Indonesia"/>
    <s v="Auckland"/>
    <s v="Cafe"/>
    <s v="Shawarma"/>
    <n v="3825"/>
    <n v="45.2"/>
    <n v="3.2"/>
    <n v="32.090000000000003"/>
    <n v="5"/>
    <n v="19"/>
    <n v="3048.55"/>
    <n v="8.92"/>
    <n v="3039.63"/>
  </r>
  <r>
    <s v="3FF4758C"/>
    <m/>
    <m/>
    <s v="CUST1795"/>
    <s v="David Smith"/>
    <s v="Qatar"/>
    <s v="Abu Dhabi"/>
    <s v="North Indian"/>
    <s v="Tandoori Roti"/>
    <n v="3597"/>
    <n v="32.57"/>
    <n v="2.8"/>
    <n v="14.4"/>
    <n v="1"/>
    <n v="7"/>
    <n v="100.8"/>
    <n v="0.91"/>
    <n v="99.89"/>
  </r>
  <r>
    <s v="5F91C6F9"/>
    <m/>
    <m/>
    <s v="CUST4610"/>
    <s v="David Khan"/>
    <s v="South Africa"/>
    <s v="Abu Dhabi"/>
    <s v="North Indian"/>
    <s v="Butter Chicken"/>
    <n v="659"/>
    <n v="49.91"/>
    <n v="4.2"/>
    <n v="7.48"/>
    <n v="2"/>
    <n v="4"/>
    <n v="59.84"/>
    <n v="7.3"/>
    <n v="52.54"/>
  </r>
  <r>
    <s v="F7594EA4"/>
    <m/>
    <m/>
    <s v="CUST1817"/>
    <s v="David Khan"/>
    <s v="Singapore"/>
    <s v="Abu Dhabi"/>
    <s v="North Indian, Mughlai"/>
    <s v="Sushi Platter"/>
    <n v="1126"/>
    <n v="35.18"/>
    <n v="3"/>
    <n v="25.26"/>
    <n v="2"/>
    <n v="13"/>
    <n v="656.76"/>
    <n v="4"/>
    <n v="652.76"/>
  </r>
  <r>
    <s v="D1848D13"/>
    <m/>
    <m/>
    <s v="CUST2252"/>
    <s v="Ravi Lee"/>
    <s v="Canada"/>
    <s v="Abu Dhabi"/>
    <s v="Chinese"/>
    <s v="Tandoori Roti"/>
    <n v="98"/>
    <n v="18.54"/>
    <n v="3"/>
    <n v="37.36"/>
    <n v="1"/>
    <n v="9"/>
    <n v="336.24"/>
    <n v="2.95"/>
    <n v="333.29"/>
  </r>
  <r>
    <s v="1B2D6855"/>
    <m/>
    <m/>
    <s v="CUST7724"/>
    <s v="Kumar Taylor"/>
    <s v="Singapore"/>
    <s v="Abu Dhabi"/>
    <s v="Chinese"/>
    <s v="Chicken Biryani"/>
    <n v="3046"/>
    <n v="41.93"/>
    <n v="3.7"/>
    <n v="11.28"/>
    <n v="3"/>
    <n v="1"/>
    <n v="33.839999999999996"/>
    <n v="1.93"/>
    <n v="31.91"/>
  </r>
  <r>
    <s v="34FD0CFC"/>
    <m/>
    <m/>
    <s v="CUST5063"/>
    <s v="John Das"/>
    <s v="South Africa"/>
    <s v="Abu Dhabi"/>
    <s v="North Indian, Mughlai"/>
    <s v="Sushi Platter"/>
    <n v="183"/>
    <n v="49.25"/>
    <n v="3.3"/>
    <n v="36.76"/>
    <n v="3"/>
    <n v="12"/>
    <n v="1323.3600000000001"/>
    <n v="6.64"/>
    <n v="1316.72"/>
  </r>
  <r>
    <s v="D3883F0A"/>
    <m/>
    <m/>
    <s v="CUST6637"/>
    <s v="Sara Brown"/>
    <s v="Philippines"/>
    <s v="Abu Dhabi"/>
    <s v="North Indian, Chinese"/>
    <s v="Butter Chicken"/>
    <n v="1033"/>
    <n v="48.04"/>
    <n v="1.6"/>
    <n v="23.43"/>
    <n v="1"/>
    <n v="6"/>
    <n v="140.57999999999998"/>
    <n v="7.77"/>
    <n v="132.81"/>
  </r>
  <r>
    <s v="68D1C258"/>
    <m/>
    <m/>
    <s v="CUST1382"/>
    <s v="Sara Patel"/>
    <s v="Singapore"/>
    <s v="Abu Dhabi"/>
    <s v="North Indian, Mughlai"/>
    <s v="Tandoori Roti"/>
    <n v="1930"/>
    <n v="30.24"/>
    <n v="4.8"/>
    <n v="12.27"/>
    <n v="3"/>
    <n v="14"/>
    <n v="515.34"/>
    <n v="2.33"/>
    <n v="513.01"/>
  </r>
  <r>
    <s v="01468413"/>
    <m/>
    <m/>
    <s v="CUST5526"/>
    <s v="David Khan"/>
    <s v="New Zealand"/>
    <s v="Abu Dhabi"/>
    <s v="Cafe"/>
    <s v="Grilled Sandwich"/>
    <n v="3756"/>
    <n v="21.4"/>
    <n v="1.5"/>
    <n v="20.48"/>
    <n v="4"/>
    <n v="13"/>
    <n v="1064.96"/>
    <n v="0.44"/>
    <n v="1064.52"/>
  </r>
  <r>
    <s v="243C1229"/>
    <m/>
    <m/>
    <s v="CUST2133"/>
    <s v="Kumar Taylor"/>
    <s v="Singapore"/>
    <s v="Abu Dhabi"/>
    <s v="North Indian"/>
    <s v="Masala Dosa"/>
    <n v="3895"/>
    <n v="41.17"/>
    <n v="2.2000000000000002"/>
    <n v="14.69"/>
    <n v="5"/>
    <n v="17"/>
    <n v="1248.6500000000001"/>
    <n v="0.99"/>
    <n v="1247.6600000000001"/>
  </r>
  <r>
    <s v="AF6B2B2C"/>
    <m/>
    <m/>
    <s v="CUST3424"/>
    <s v="Sophia Sharma"/>
    <s v="South Africa"/>
    <s v="Abu Dhabi"/>
    <s v="North Indian, Mughlai"/>
    <s v="Sushi Platter"/>
    <n v="4902"/>
    <n v="43.64"/>
    <n v="4.4000000000000004"/>
    <n v="35.71"/>
    <n v="2"/>
    <n v="14"/>
    <n v="999.88"/>
    <n v="7.74"/>
    <n v="992.14"/>
  </r>
  <r>
    <s v="233522A3"/>
    <m/>
    <m/>
    <s v="CUST2992"/>
    <s v="Emily Patel"/>
    <s v="New Zealand"/>
    <s v="Abu Dhabi"/>
    <s v="North Indian, Chinese"/>
    <s v="Spring Rolls"/>
    <n v="4940"/>
    <n v="42.53"/>
    <n v="3.8"/>
    <n v="7.58"/>
    <n v="5"/>
    <n v="12"/>
    <n v="454.79999999999995"/>
    <n v="2.5299999999999998"/>
    <n v="452.27"/>
  </r>
  <r>
    <s v="3CC1D45A"/>
    <m/>
    <m/>
    <s v="CUST4311"/>
    <s v="Anita Khan"/>
    <s v="Singapore"/>
    <s v="Agra"/>
    <s v="North Indian"/>
    <s v="Veg Biryani"/>
    <n v="4379"/>
    <n v="10.119999999999999"/>
    <n v="1.6"/>
    <n v="7.43"/>
    <n v="5"/>
    <n v="10"/>
    <n v="371.5"/>
    <n v="8.68"/>
    <n v="362.82"/>
  </r>
  <r>
    <s v="1B61C53B"/>
    <m/>
    <m/>
    <s v="CUST5813"/>
    <s v="David Smith"/>
    <s v="Canada"/>
    <s v="Agra"/>
    <s v="North Indian"/>
    <s v="Spring Rolls"/>
    <n v="285"/>
    <n v="37.340000000000003"/>
    <n v="3.8"/>
    <n v="19.100000000000001"/>
    <n v="2"/>
    <n v="1"/>
    <n v="38.200000000000003"/>
    <n v="0.8"/>
    <n v="37.4"/>
  </r>
  <r>
    <s v="678D28CE"/>
    <m/>
    <m/>
    <s v="CUST2689"/>
    <s v="Ravi Sharma"/>
    <s v="Brazil"/>
    <s v="Agra"/>
    <s v="Chinese"/>
    <s v="Fried Rice"/>
    <n v="4350"/>
    <n v="43.38"/>
    <n v="3.1"/>
    <n v="21.82"/>
    <n v="2"/>
    <n v="12"/>
    <n v="523.68000000000006"/>
    <n v="5.42"/>
    <n v="518.26"/>
  </r>
  <r>
    <s v="7C39C94B"/>
    <m/>
    <m/>
    <s v="CUST3377"/>
    <s v="John Taylor"/>
    <s v="Philippines"/>
    <s v="Agra"/>
    <s v="North Indian, Chinese"/>
    <s v="Tandoori Roti"/>
    <n v="3584"/>
    <n v="25.27"/>
    <n v="2.6"/>
    <n v="13.28"/>
    <n v="1"/>
    <n v="11"/>
    <n v="146.07999999999998"/>
    <n v="2.2400000000000002"/>
    <n v="143.84"/>
  </r>
  <r>
    <s v="F32BAC95"/>
    <m/>
    <m/>
    <s v="CUST2697"/>
    <s v="Ahmed Taylor"/>
    <s v="Philippines"/>
    <s v="Agra"/>
    <s v="Cafe"/>
    <s v="Chicken Biryani"/>
    <n v="380"/>
    <n v="44.91"/>
    <n v="2.8"/>
    <n v="19.57"/>
    <n v="2"/>
    <n v="3"/>
    <n v="117.42"/>
    <n v="4.8499999999999996"/>
    <n v="112.57"/>
  </r>
  <r>
    <s v="A4D7D3EC"/>
    <m/>
    <m/>
    <s v="CUST3252"/>
    <s v="Sara Garcia"/>
    <s v="Canada"/>
    <s v="Agra"/>
    <s v="North Indian"/>
    <s v="Chicken Biryani"/>
    <n v="4031"/>
    <n v="49.17"/>
    <n v="4.0999999999999996"/>
    <n v="6.15"/>
    <n v="2"/>
    <n v="6"/>
    <n v="73.800000000000011"/>
    <n v="8.49"/>
    <n v="65.31"/>
  </r>
  <r>
    <s v="9077D818"/>
    <m/>
    <m/>
    <s v="CUST7959"/>
    <s v="Anita Sharma"/>
    <s v="Canada"/>
    <s v="Agra"/>
    <s v="North Indian"/>
    <s v="Butter Chicken"/>
    <n v="4951"/>
    <n v="45.31"/>
    <n v="4.5"/>
    <n v="20.04"/>
    <n v="2"/>
    <n v="10"/>
    <n v="400.79999999999995"/>
    <n v="1.99"/>
    <n v="398.81"/>
  </r>
  <r>
    <s v="FFDC0ECE"/>
    <m/>
    <m/>
    <s v="CUST6332"/>
    <s v="Sara Das"/>
    <s v="Australia"/>
    <s v="Agra"/>
    <s v="North Indian, Mughlai"/>
    <s v="Cheeseburger"/>
    <n v="2384"/>
    <n v="22.92"/>
    <n v="3.4"/>
    <n v="24.07"/>
    <n v="4"/>
    <n v="14"/>
    <n v="1347.92"/>
    <n v="6.05"/>
    <n v="1341.87"/>
  </r>
  <r>
    <s v="1B1EE042"/>
    <m/>
    <m/>
    <s v="CUST3309"/>
    <s v="Ahmed Sharma"/>
    <s v="Brazil"/>
    <s v="Agra"/>
    <s v="Cafe"/>
    <s v="Pasta Alfredo"/>
    <n v="4395"/>
    <n v="33.65"/>
    <n v="3"/>
    <n v="27.35"/>
    <n v="1"/>
    <n v="14"/>
    <n v="382.90000000000003"/>
    <n v="7.62"/>
    <n v="375.28"/>
  </r>
  <r>
    <s v="A90149B4"/>
    <m/>
    <m/>
    <s v="CUST1930"/>
    <s v="Kumar Smith"/>
    <s v="Qatar"/>
    <s v="Agra"/>
    <s v="North Indian"/>
    <s v="Fried Rice"/>
    <n v="4279"/>
    <n v="18.329999999999998"/>
    <n v="5"/>
    <n v="32.24"/>
    <n v="4"/>
    <n v="6"/>
    <n v="773.76"/>
    <n v="3.81"/>
    <n v="769.95"/>
  </r>
  <r>
    <s v="9F9DB8BA"/>
    <m/>
    <m/>
    <s v="CUST6628"/>
    <s v="Priya Brown"/>
    <s v="Australia"/>
    <s v="Agra"/>
    <s v="North Indian, Chinese"/>
    <s v="Margherita Pizza"/>
    <n v="790"/>
    <n v="9.65"/>
    <n v="3.2"/>
    <n v="6.46"/>
    <n v="4"/>
    <n v="5"/>
    <n v="129.19999999999999"/>
    <n v="9.52"/>
    <n v="119.68"/>
  </r>
  <r>
    <s v="19AD2ECC"/>
    <m/>
    <m/>
    <s v="CUST3863"/>
    <s v="David Brown"/>
    <s v="South Africa"/>
    <s v="Agra"/>
    <s v="North Indian, Chinese"/>
    <s v="Spring Rolls"/>
    <n v="2301"/>
    <n v="6.03"/>
    <n v="3.2"/>
    <n v="10.74"/>
    <n v="1"/>
    <n v="19"/>
    <n v="204.06"/>
    <n v="2.39"/>
    <n v="201.67"/>
  </r>
  <r>
    <s v="E6C23ED3"/>
    <m/>
    <m/>
    <s v="CUST7063"/>
    <s v="Priya Khan"/>
    <s v="Canada"/>
    <s v="Agra"/>
    <s v="North Indian"/>
    <s v="Grilled Sandwich"/>
    <n v="1691"/>
    <n v="16.62"/>
    <n v="4.8"/>
    <n v="25.12"/>
    <n v="2"/>
    <n v="3"/>
    <n v="150.72"/>
    <n v="5.37"/>
    <n v="145.35"/>
  </r>
  <r>
    <s v="158D5E48"/>
    <m/>
    <m/>
    <s v="CUST7506"/>
    <s v="Priya Brown"/>
    <s v="Brazil"/>
    <s v="Ahmedabad"/>
    <s v="Chinese"/>
    <s v="Shawarma"/>
    <n v="1269"/>
    <n v="33.78"/>
    <n v="4.9000000000000004"/>
    <n v="26.63"/>
    <n v="1"/>
    <n v="14"/>
    <n v="372.82"/>
    <n v="3.93"/>
    <n v="368.89"/>
  </r>
  <r>
    <s v="645986BA"/>
    <m/>
    <m/>
    <s v="CUST9758"/>
    <s v="John Sharma"/>
    <s v="Philippines"/>
    <s v="Ahmedabad"/>
    <s v="North Indian, Chinese"/>
    <s v="Butter Chicken"/>
    <n v="3267"/>
    <n v="11.52"/>
    <n v="2.6"/>
    <n v="33.61"/>
    <n v="4"/>
    <n v="4"/>
    <n v="537.76"/>
    <n v="2.33"/>
    <n v="535.42999999999995"/>
  </r>
  <r>
    <s v="2CE145C4"/>
    <m/>
    <m/>
    <s v="CUST1904"/>
    <s v="Sophia Lee"/>
    <s v="Qatar"/>
    <s v="Ahmedabad"/>
    <s v="Chinese"/>
    <s v="Masala Dosa"/>
    <n v="1351"/>
    <n v="46.1"/>
    <n v="3.2"/>
    <n v="7.13"/>
    <n v="5"/>
    <n v="17"/>
    <n v="606.04999999999995"/>
    <n v="3.13"/>
    <n v="602.91999999999996"/>
  </r>
  <r>
    <s v="0A4B56DC"/>
    <m/>
    <m/>
    <s v="CUST1196"/>
    <s v="Sophia Sharma"/>
    <s v="India"/>
    <s v="Ahmedabad"/>
    <s v="Cafe"/>
    <s v="Margherita Pizza"/>
    <n v="4005"/>
    <n v="45.32"/>
    <n v="4.0999999999999996"/>
    <n v="17.87"/>
    <n v="4"/>
    <n v="14"/>
    <n v="1000.72"/>
    <n v="5.39"/>
    <n v="995.33"/>
  </r>
  <r>
    <s v="B1743F56"/>
    <m/>
    <m/>
    <s v="CUST1010"/>
    <s v="Ahmed Smith"/>
    <s v="New Zealand"/>
    <s v="Ahmedabad"/>
    <s v="North Indian"/>
    <s v="Paneer Tikka"/>
    <n v="1572"/>
    <n v="12.29"/>
    <n v="4"/>
    <n v="34.78"/>
    <n v="4"/>
    <n v="12"/>
    <n v="1669.44"/>
    <n v="6.31"/>
    <n v="1663.13"/>
  </r>
  <r>
    <s v="E08626D8"/>
    <m/>
    <m/>
    <s v="CUST5962"/>
    <s v="Anita Patel"/>
    <s v="Canada"/>
    <s v="Ahmedabad"/>
    <s v="Chinese"/>
    <s v="Tandoori Roti"/>
    <n v="3929"/>
    <n v="34.17"/>
    <n v="4.8"/>
    <n v="8.74"/>
    <n v="4"/>
    <n v="13"/>
    <n v="454.48"/>
    <n v="8.56"/>
    <n v="445.92"/>
  </r>
  <r>
    <s v="F4C644A6"/>
    <m/>
    <m/>
    <s v="CUST4140"/>
    <s v="Anita Patel"/>
    <s v="South Africa"/>
    <s v="Ahmedabad"/>
    <s v="North Indian"/>
    <s v="Butter Chicken"/>
    <n v="2864"/>
    <n v="27.24"/>
    <n v="4.4000000000000004"/>
    <n v="7.42"/>
    <n v="5"/>
    <n v="1"/>
    <n v="37.1"/>
    <n v="9.64"/>
    <n v="27.46"/>
  </r>
  <r>
    <s v="5B86BBB9"/>
    <m/>
    <m/>
    <s v="CUST7614"/>
    <s v="Priya Garcia"/>
    <s v="Brazil"/>
    <s v="Ahmedabad"/>
    <s v="Cafe"/>
    <s v="Spring Rolls"/>
    <n v="508"/>
    <n v="16.8"/>
    <n v="1.5"/>
    <n v="10.62"/>
    <n v="3"/>
    <n v="16"/>
    <n v="509.76"/>
    <n v="5.86"/>
    <n v="503.9"/>
  </r>
  <r>
    <s v="AA59827E"/>
    <m/>
    <m/>
    <s v="CUST1432"/>
    <s v="Sophia Taylor"/>
    <s v="South Africa"/>
    <s v="Ahmedabad"/>
    <s v="Cafe"/>
    <s v="Paneer Tikka"/>
    <n v="3003"/>
    <n v="23.68"/>
    <n v="3.4"/>
    <n v="39.89"/>
    <n v="1"/>
    <n v="20"/>
    <n v="797.8"/>
    <n v="0"/>
    <n v="797.8"/>
  </r>
  <r>
    <s v="E335F221"/>
    <m/>
    <m/>
    <s v="CUST2372"/>
    <s v="Sara Sharma"/>
    <s v="South Africa"/>
    <s v="Ahmedabad"/>
    <s v="North Indian"/>
    <s v="Paneer Tikka"/>
    <n v="1851"/>
    <n v="23.51"/>
    <n v="4.0999999999999996"/>
    <n v="37.020000000000003"/>
    <n v="4"/>
    <n v="3"/>
    <n v="444.24"/>
    <n v="6.26"/>
    <n v="437.98"/>
  </r>
  <r>
    <s v="DC99A181"/>
    <m/>
    <m/>
    <s v="CUST7471"/>
    <s v="John Das"/>
    <s v="Qatar"/>
    <s v="Ahmedabad"/>
    <s v="North Indian"/>
    <s v="Spring Rolls"/>
    <n v="3815"/>
    <n v="44.41"/>
    <n v="2.5"/>
    <n v="18.3"/>
    <n v="3"/>
    <n v="11"/>
    <n v="603.90000000000009"/>
    <n v="3.84"/>
    <n v="600.05999999999995"/>
  </r>
  <r>
    <s v="B1BC5848"/>
    <m/>
    <m/>
    <s v="CUST6573"/>
    <s v="Anita Taylor"/>
    <s v="Singapore"/>
    <s v="Ahmedabad"/>
    <s v="North Indian, Mughlai"/>
    <s v="Spring Rolls"/>
    <n v="4584"/>
    <n v="27.58"/>
    <n v="4.8"/>
    <n v="21.9"/>
    <n v="3"/>
    <n v="15"/>
    <n v="985.49999999999977"/>
    <n v="5.36"/>
    <n v="980.14"/>
  </r>
  <r>
    <s v="9028EEDC"/>
    <m/>
    <m/>
    <s v="CUST3741"/>
    <s v="Anita Lee"/>
    <s v="Singapore"/>
    <s v="Ahmedabad"/>
    <s v="North Indian, Mughlai"/>
    <s v="Fried Rice"/>
    <n v="3415"/>
    <n v="35.31"/>
    <n v="3.2"/>
    <n v="24.48"/>
    <n v="3"/>
    <n v="10"/>
    <n v="734.4"/>
    <n v="2.2799999999999998"/>
    <n v="732.12"/>
  </r>
  <r>
    <s v="89A27AC7"/>
    <m/>
    <m/>
    <s v="CUST6502"/>
    <s v="Sara Garcia"/>
    <s v="Australia"/>
    <s v="Albany"/>
    <s v="Chinese"/>
    <s v="Cheeseburger"/>
    <n v="3295"/>
    <n v="32.86"/>
    <n v="1.8"/>
    <n v="35.86"/>
    <n v="4"/>
    <n v="17"/>
    <n v="2438.48"/>
    <n v="2.42"/>
    <n v="2436.06"/>
  </r>
  <r>
    <s v="A9746652"/>
    <m/>
    <m/>
    <s v="CUST2082"/>
    <s v="Emily Singh"/>
    <s v="India"/>
    <s v="Albany"/>
    <s v="Cafe"/>
    <s v="Paneer Tikka"/>
    <n v="999"/>
    <n v="46.63"/>
    <n v="3"/>
    <n v="26.2"/>
    <n v="1"/>
    <n v="17"/>
    <n v="445.4"/>
    <n v="8.59"/>
    <n v="436.81"/>
  </r>
  <r>
    <s v="E03A2A96"/>
    <m/>
    <m/>
    <s v="CUST7534"/>
    <s v="Anita Brown"/>
    <s v="India"/>
    <s v="Albany"/>
    <s v="Chinese"/>
    <s v="Chicken Biryani"/>
    <n v="978"/>
    <n v="19.5"/>
    <n v="3.9"/>
    <n v="16.170000000000002"/>
    <n v="2"/>
    <n v="2"/>
    <n v="64.680000000000007"/>
    <n v="0.86"/>
    <n v="63.82"/>
  </r>
  <r>
    <s v="E9D14957"/>
    <m/>
    <m/>
    <s v="CUST3799"/>
    <s v="David Lee"/>
    <s v="Qatar"/>
    <s v="Albany"/>
    <s v="North Indian, Chinese"/>
    <s v="Cheeseburger"/>
    <n v="1073"/>
    <n v="37.869999999999997"/>
    <n v="4"/>
    <n v="10.6"/>
    <n v="5"/>
    <n v="16"/>
    <n v="848"/>
    <n v="7.22"/>
    <n v="840.78"/>
  </r>
  <r>
    <s v="6415EE94"/>
    <m/>
    <m/>
    <s v="CUST6000"/>
    <s v="Kumar Patel"/>
    <s v="South Africa"/>
    <s v="Allahabad"/>
    <s v="North Indian, Mughlai"/>
    <s v="Veg Biryani"/>
    <n v="2920"/>
    <n v="26.08"/>
    <n v="1.4"/>
    <n v="18.48"/>
    <n v="1"/>
    <n v="15"/>
    <n v="277.2"/>
    <n v="0.98"/>
    <n v="276.22000000000003"/>
  </r>
  <r>
    <s v="D295209E"/>
    <m/>
    <m/>
    <s v="CUST1454"/>
    <s v="Sophia Brown"/>
    <s v="Canada"/>
    <s v="Allahabad"/>
    <s v="Chinese"/>
    <s v="Butter Chicken"/>
    <n v="505"/>
    <n v="32.340000000000003"/>
    <n v="4.9000000000000004"/>
    <n v="35.69"/>
    <n v="2"/>
    <n v="9"/>
    <n v="642.41999999999996"/>
    <n v="7.42"/>
    <n v="635"/>
  </r>
  <r>
    <s v="FDFEA1F5"/>
    <m/>
    <m/>
    <s v="CUST5668"/>
    <s v="Sara Smith"/>
    <s v="Canada"/>
    <s v="Allahabad"/>
    <s v="North Indian, Chinese"/>
    <s v="Spring Rolls"/>
    <n v="4622"/>
    <n v="46.71"/>
    <n v="2.2999999999999998"/>
    <n v="15.92"/>
    <n v="2"/>
    <n v="7"/>
    <n v="222.88"/>
    <n v="0.6"/>
    <n v="222.28"/>
  </r>
  <r>
    <s v="92E4D335"/>
    <m/>
    <m/>
    <s v="CUST4091"/>
    <s v="Kumar Taylor"/>
    <s v="Philippines"/>
    <s v="Allahabad"/>
    <s v="North Indian, Chinese"/>
    <s v="Veg Biryani"/>
    <n v="2309"/>
    <n v="12.66"/>
    <n v="4"/>
    <n v="28.4"/>
    <n v="4"/>
    <n v="4"/>
    <n v="454.4"/>
    <n v="3.87"/>
    <n v="450.53"/>
  </r>
  <r>
    <s v="5453643C"/>
    <m/>
    <m/>
    <s v="CUST7524"/>
    <s v="Kumar Singh"/>
    <s v="Brazil"/>
    <s v="Allahabad"/>
    <s v="Cafe"/>
    <s v="Momos"/>
    <n v="3859"/>
    <n v="9.43"/>
    <n v="3.1"/>
    <n v="23.32"/>
    <n v="3"/>
    <n v="3"/>
    <n v="209.88000000000002"/>
    <n v="2.35"/>
    <n v="207.53"/>
  </r>
  <r>
    <s v="8E1A3CC3"/>
    <m/>
    <m/>
    <s v="CUST3570"/>
    <s v="David Khan"/>
    <s v="New Zealand"/>
    <s v="Allahabad"/>
    <s v="North Indian, Mughlai"/>
    <s v="Veg Biryani"/>
    <n v="3033"/>
    <n v="45.16"/>
    <n v="4.8"/>
    <n v="13.39"/>
    <n v="4"/>
    <n v="7"/>
    <n v="374.92"/>
    <n v="5.23"/>
    <n v="369.69"/>
  </r>
  <r>
    <s v="9CB88F95"/>
    <m/>
    <m/>
    <s v="CUST4173"/>
    <s v="Ravi Singh"/>
    <s v="India"/>
    <s v="Allahabad"/>
    <s v="North Indian, Mughlai"/>
    <s v="Pasta Alfredo"/>
    <n v="4206"/>
    <n v="26.97"/>
    <n v="2.1"/>
    <n v="21.64"/>
    <n v="1"/>
    <n v="7"/>
    <n v="151.48000000000002"/>
    <n v="4.8"/>
    <n v="146.68"/>
  </r>
  <r>
    <s v="BAC9177E"/>
    <m/>
    <m/>
    <s v="CUST7099"/>
    <s v="Sophia Das"/>
    <s v="Brazil"/>
    <s v="Allahabad"/>
    <s v="North Indian"/>
    <s v="Shawarma"/>
    <n v="1035"/>
    <n v="38.700000000000003"/>
    <n v="4.7"/>
    <n v="13.67"/>
    <n v="1"/>
    <n v="6"/>
    <n v="82.02"/>
    <n v="6.73"/>
    <n v="75.290000000000006"/>
  </r>
  <r>
    <s v="F568A66E"/>
    <m/>
    <m/>
    <s v="CUST9986"/>
    <s v="Priya Patel"/>
    <s v="South Africa"/>
    <s v="Allahabad"/>
    <s v="North Indian, Chinese"/>
    <s v="Fried Rice"/>
    <n v="3357"/>
    <n v="29.24"/>
    <n v="4.7"/>
    <n v="5.64"/>
    <n v="3"/>
    <n v="7"/>
    <n v="118.43999999999998"/>
    <n v="3.5"/>
    <n v="114.94"/>
  </r>
  <r>
    <s v="2153EE91"/>
    <m/>
    <m/>
    <s v="CUST3737"/>
    <s v="Anita Singh"/>
    <s v="Brazil"/>
    <s v="Allahabad"/>
    <s v="North Indian"/>
    <s v="Paneer Tikka"/>
    <n v="75"/>
    <n v="47.82"/>
    <n v="3"/>
    <n v="11.69"/>
    <n v="5"/>
    <n v="4"/>
    <n v="233.79999999999998"/>
    <n v="1.0900000000000001"/>
    <n v="232.71"/>
  </r>
  <r>
    <s v="CB990F4D"/>
    <m/>
    <m/>
    <s v="CUST1457"/>
    <s v="John Khan"/>
    <s v="Singapore"/>
    <s v="Allahabad"/>
    <s v="Cafe"/>
    <s v="Tandoori Roti"/>
    <n v="2541"/>
    <n v="44.57"/>
    <n v="4"/>
    <n v="23.92"/>
    <n v="4"/>
    <n v="6"/>
    <n v="574.08000000000004"/>
    <n v="2.42"/>
    <n v="571.66"/>
  </r>
  <r>
    <s v="7318C20D"/>
    <m/>
    <m/>
    <s v="CUST3294"/>
    <s v="Anita Brown"/>
    <s v="New Zealand"/>
    <s v="Allahabad"/>
    <s v="North Indian, Chinese"/>
    <s v="Tandoori Roti"/>
    <n v="1085"/>
    <n v="48.2"/>
    <n v="3.1"/>
    <n v="35.39"/>
    <n v="1"/>
    <n v="5"/>
    <n v="176.95"/>
    <n v="6.78"/>
    <n v="170.17"/>
  </r>
  <r>
    <s v="0FECA1AA"/>
    <m/>
    <m/>
    <s v="CUST1739"/>
    <s v="Priya Patel"/>
    <s v="Philippines"/>
    <s v="Allahabad"/>
    <s v="North Indian"/>
    <s v="Shawarma"/>
    <n v="2981"/>
    <n v="36.119999999999997"/>
    <n v="4.9000000000000004"/>
    <n v="37.700000000000003"/>
    <n v="1"/>
    <n v="8"/>
    <n v="301.60000000000002"/>
    <n v="4.76"/>
    <n v="296.83999999999997"/>
  </r>
  <r>
    <s v="4824DAAB"/>
    <m/>
    <m/>
    <s v="CUST6619"/>
    <s v="Kumar Brown"/>
    <s v="Singapore"/>
    <s v="Amritsar"/>
    <s v="Chinese"/>
    <s v="Pasta Alfredo"/>
    <n v="4320"/>
    <n v="17.77"/>
    <n v="1.5"/>
    <n v="35.44"/>
    <n v="5"/>
    <n v="7"/>
    <n v="1240.3999999999999"/>
    <n v="4.3899999999999997"/>
    <n v="1236.01"/>
  </r>
  <r>
    <s v="BCEFF223"/>
    <m/>
    <m/>
    <s v="CUST5154"/>
    <s v="Emily Patel"/>
    <s v="South Africa"/>
    <s v="Amritsar"/>
    <s v="North Indian"/>
    <s v="Masala Dosa"/>
    <n v="2533"/>
    <n v="32.76"/>
    <n v="2.1"/>
    <n v="19.48"/>
    <n v="3"/>
    <n v="17"/>
    <n v="993.48"/>
    <n v="4.4000000000000004"/>
    <n v="989.08"/>
  </r>
  <r>
    <s v="1A37391B"/>
    <m/>
    <m/>
    <s v="CUST9569"/>
    <s v="Sara Sharma"/>
    <s v="New Zealand"/>
    <s v="Amritsar"/>
    <s v="North Indian"/>
    <s v="Fried Rice"/>
    <n v="3018"/>
    <n v="13.59"/>
    <n v="4.3"/>
    <n v="18.399999999999999"/>
    <n v="4"/>
    <n v="19"/>
    <n v="1398.3999999999999"/>
    <n v="1.86"/>
    <n v="1396.54"/>
  </r>
  <r>
    <s v="0FFE9B21"/>
    <m/>
    <m/>
    <s v="CUST8338"/>
    <s v="Priya Singh"/>
    <s v="Brazil"/>
    <s v="Amritsar"/>
    <s v="Cafe"/>
    <s v="Margherita Pizza"/>
    <n v="1873"/>
    <n v="35.94"/>
    <n v="3.1"/>
    <n v="21.46"/>
    <n v="3"/>
    <n v="15"/>
    <n v="965.69999999999993"/>
    <n v="7.55"/>
    <n v="958.15"/>
  </r>
  <r>
    <s v="09DC7607"/>
    <m/>
    <m/>
    <s v="CUST6672"/>
    <s v="Anita Smith"/>
    <s v="New Zealand"/>
    <s v="Amritsar"/>
    <s v="Chinese"/>
    <s v="Pasta Alfredo"/>
    <n v="3958"/>
    <n v="43.69"/>
    <n v="3.9"/>
    <n v="13.92"/>
    <n v="2"/>
    <n v="16"/>
    <n v="445.44"/>
    <n v="6.88"/>
    <n v="438.56"/>
  </r>
  <r>
    <s v="70DBF314"/>
    <m/>
    <m/>
    <s v="CUST8278"/>
    <s v="Ahmed Sharma"/>
    <s v="Indonesia"/>
    <s v="Amritsar"/>
    <s v="North Indian, Mughlai"/>
    <s v="Shawarma"/>
    <n v="1954"/>
    <n v="27.72"/>
    <n v="4"/>
    <n v="37.97"/>
    <n v="4"/>
    <n v="7"/>
    <n v="1063.1599999999999"/>
    <n v="8.44"/>
    <n v="1054.72"/>
  </r>
  <r>
    <s v="6B7BD4FA"/>
    <m/>
    <m/>
    <s v="CUST3819"/>
    <s v="Priya Garcia"/>
    <s v="South Africa"/>
    <s v="Amritsar"/>
    <s v="Chinese"/>
    <s v="Grilled Sandwich"/>
    <n v="4609"/>
    <n v="44.75"/>
    <n v="1.8"/>
    <n v="29.8"/>
    <n v="1"/>
    <n v="3"/>
    <n v="89.4"/>
    <n v="7.64"/>
    <n v="81.760000000000005"/>
  </r>
  <r>
    <s v="C61DC098"/>
    <m/>
    <m/>
    <s v="CUST4163"/>
    <s v="David Smith"/>
    <s v="Brazil"/>
    <s v="Amritsar"/>
    <s v="North Indian"/>
    <s v="Paneer Tikka"/>
    <n v="3721"/>
    <n v="42.28"/>
    <n v="1.2"/>
    <n v="24.48"/>
    <n v="1"/>
    <n v="6"/>
    <n v="146.88"/>
    <n v="8.83"/>
    <n v="138.05000000000001"/>
  </r>
  <r>
    <s v="18789EB4"/>
    <m/>
    <m/>
    <s v="CUST1483"/>
    <s v="Ahmed Das"/>
    <s v="Canada"/>
    <s v="Amritsar"/>
    <s v="North Indian, Chinese"/>
    <s v="Sushi Platter"/>
    <n v="334"/>
    <n v="35.68"/>
    <n v="3.8"/>
    <n v="6.01"/>
    <n v="2"/>
    <n v="7"/>
    <n v="84.14"/>
    <n v="7.7"/>
    <n v="76.44"/>
  </r>
  <r>
    <s v="3DF4F355"/>
    <m/>
    <m/>
    <s v="CUST2073"/>
    <s v="Ahmed Garcia"/>
    <s v="India"/>
    <s v="Amritsar"/>
    <s v="North Indian, Chinese"/>
    <s v="Tandoori Roti"/>
    <n v="3144"/>
    <n v="13.12"/>
    <n v="4.8"/>
    <n v="7.36"/>
    <n v="5"/>
    <n v="3"/>
    <n v="110.4"/>
    <n v="7.02"/>
    <n v="103.38"/>
  </r>
  <r>
    <s v="96BFD98F"/>
    <m/>
    <m/>
    <s v="CUST6250"/>
    <s v="Kumar Taylor"/>
    <s v="Qatar"/>
    <s v="Ankara"/>
    <s v="Chinese"/>
    <s v="Butter Chicken"/>
    <n v="2254"/>
    <n v="29.38"/>
    <n v="2.7"/>
    <n v="38.97"/>
    <n v="3"/>
    <n v="20"/>
    <n v="2338.1999999999998"/>
    <n v="2.39"/>
    <n v="2335.81"/>
  </r>
  <r>
    <s v="F73B82A9"/>
    <m/>
    <m/>
    <s v="CUST4428"/>
    <s v="Priya Patel"/>
    <s v="Brazil"/>
    <s v="Ankara"/>
    <s v="Cafe"/>
    <s v="Veg Biryani"/>
    <n v="4184"/>
    <n v="18.989999999999998"/>
    <n v="1.2"/>
    <n v="30.34"/>
    <n v="1"/>
    <n v="14"/>
    <n v="424.76"/>
    <n v="2.0299999999999998"/>
    <n v="422.73"/>
  </r>
  <r>
    <s v="822C87E4"/>
    <m/>
    <m/>
    <s v="CUST8495"/>
    <s v="Emily Garcia"/>
    <s v="Indonesia"/>
    <s v="Ankara"/>
    <s v="North Indian, Chinese"/>
    <s v="Paneer Tikka"/>
    <n v="1583"/>
    <n v="15.09"/>
    <n v="2.2000000000000002"/>
    <n v="28.31"/>
    <n v="4"/>
    <n v="8"/>
    <n v="905.92"/>
    <n v="0.64"/>
    <n v="905.28"/>
  </r>
  <r>
    <s v="148BF9B4"/>
    <m/>
    <m/>
    <s v="CUST2051"/>
    <s v="Ravi Sharma"/>
    <s v="Canada"/>
    <s v="Ankara"/>
    <s v="Chinese"/>
    <s v="Momos"/>
    <n v="4549"/>
    <n v="42.44"/>
    <n v="3.1"/>
    <n v="29.43"/>
    <n v="5"/>
    <n v="16"/>
    <n v="2354.4"/>
    <n v="3.66"/>
    <n v="2350.7399999999998"/>
  </r>
  <r>
    <s v="254462BD"/>
    <m/>
    <m/>
    <s v="CUST1906"/>
    <s v="Emily Sharma"/>
    <s v="Singapore"/>
    <s v="Ankara"/>
    <s v="North Indian"/>
    <s v="Fried Rice"/>
    <n v="4966"/>
    <n v="13.99"/>
    <n v="2.5"/>
    <n v="34.44"/>
    <n v="5"/>
    <n v="4"/>
    <n v="688.8"/>
    <n v="9.8800000000000008"/>
    <n v="678.92"/>
  </r>
  <r>
    <s v="2CF675F6"/>
    <m/>
    <m/>
    <s v="CUST9895"/>
    <s v="Sara Sharma"/>
    <s v="Brazil"/>
    <s v="Ankara"/>
    <s v="North Indian"/>
    <s v="Veg Biryani"/>
    <n v="126"/>
    <n v="8.14"/>
    <n v="2.8"/>
    <n v="11.79"/>
    <n v="2"/>
    <n v="16"/>
    <n v="377.28"/>
    <n v="1.96"/>
    <n v="375.32"/>
  </r>
  <r>
    <s v="0686240D"/>
    <m/>
    <m/>
    <s v="CUST7993"/>
    <s v="Priya Sharma"/>
    <s v="India"/>
    <s v="Ankara"/>
    <s v="Cafe"/>
    <s v="Shawarma"/>
    <n v="4377"/>
    <n v="39.880000000000003"/>
    <n v="4.7"/>
    <n v="11.11"/>
    <n v="2"/>
    <n v="6"/>
    <n v="133.32"/>
    <n v="6.42"/>
    <n v="126.9"/>
  </r>
  <r>
    <s v="434505A9"/>
    <m/>
    <m/>
    <s v="CUST6894"/>
    <s v="Ravi Das"/>
    <s v="Qatar"/>
    <s v="Ankara"/>
    <s v="North Indian"/>
    <s v="Shawarma"/>
    <n v="398"/>
    <n v="5.26"/>
    <n v="4.5999999999999996"/>
    <n v="5.12"/>
    <n v="3"/>
    <n v="18"/>
    <n v="276.48"/>
    <n v="2.5299999999999998"/>
    <n v="273.95"/>
  </r>
  <r>
    <s v="20FCC4DE"/>
    <m/>
    <m/>
    <s v="CUST7794"/>
    <s v="John Garcia"/>
    <s v="New Zealand"/>
    <s v="Ankara"/>
    <s v="North Indian, Mughlai"/>
    <s v="Chicken Biryani"/>
    <n v="2542"/>
    <n v="46.43"/>
    <n v="3.8"/>
    <n v="18.14"/>
    <n v="4"/>
    <n v="14"/>
    <n v="1015.84"/>
    <n v="9.91"/>
    <n v="1005.93"/>
  </r>
  <r>
    <s v="15E3B124"/>
    <m/>
    <m/>
    <s v="CUST7509"/>
    <s v="Emily Singh"/>
    <s v="Singapore"/>
    <s v="Ankara"/>
    <s v="Chinese"/>
    <s v="Butter Chicken"/>
    <n v="3004"/>
    <n v="33.54"/>
    <n v="2.5"/>
    <n v="23.17"/>
    <n v="5"/>
    <n v="11"/>
    <n v="1274.3500000000001"/>
    <n v="0.57999999999999996"/>
    <n v="1273.77"/>
  </r>
  <r>
    <s v="D5A1C81F"/>
    <m/>
    <m/>
    <s v="CUST8616"/>
    <s v="Kumar Singh"/>
    <s v="Singapore"/>
    <s v="Ankara"/>
    <s v="North Indian, Mughlai"/>
    <s v="Tandoori Roti"/>
    <n v="1613"/>
    <n v="34.64"/>
    <n v="2"/>
    <n v="28.9"/>
    <n v="4"/>
    <n v="15"/>
    <n v="1734"/>
    <n v="6.91"/>
    <n v="1727.09"/>
  </r>
  <r>
    <s v="15EBA4E8"/>
    <m/>
    <m/>
    <s v="CUST1282"/>
    <s v="Priya Khan"/>
    <s v="Australia"/>
    <s v="Ankara"/>
    <s v="North Indian, Mughlai"/>
    <s v="Spring Rolls"/>
    <n v="603"/>
    <n v="48.1"/>
    <n v="1.4"/>
    <n v="28.99"/>
    <n v="2"/>
    <n v="6"/>
    <n v="347.88"/>
    <n v="3.63"/>
    <n v="344.25"/>
  </r>
  <r>
    <s v="47E4D4F8"/>
    <m/>
    <m/>
    <s v="CUST2717"/>
    <s v="David Taylor"/>
    <s v="New Zealand"/>
    <s v="Ankara"/>
    <s v="Cafe"/>
    <s v="Spring Rolls"/>
    <n v="2581"/>
    <n v="18.98"/>
    <n v="3.8"/>
    <n v="17.29"/>
    <n v="2"/>
    <n v="4"/>
    <n v="138.32"/>
    <n v="4.34"/>
    <n v="133.97999999999999"/>
  </r>
  <r>
    <s v="778726B5"/>
    <m/>
    <m/>
    <s v="CUST5513"/>
    <s v="Sara Das"/>
    <s v="India"/>
    <s v="Athens"/>
    <s v="North Indian, Chinese"/>
    <s v="Spring Rolls"/>
    <n v="1357"/>
    <n v="27.37"/>
    <n v="4.0999999999999996"/>
    <n v="8.85"/>
    <n v="3"/>
    <n v="11"/>
    <n v="292.04999999999995"/>
    <n v="1.69"/>
    <n v="290.36"/>
  </r>
  <r>
    <s v="9BDC36CF"/>
    <m/>
    <m/>
    <s v="CUST7752"/>
    <s v="Sophia Brown"/>
    <s v="Canada"/>
    <s v="Athens"/>
    <s v="Cafe"/>
    <s v="Paneer Tikka"/>
    <n v="1323"/>
    <n v="36.840000000000003"/>
    <n v="1.6"/>
    <n v="25.29"/>
    <n v="3"/>
    <n v="4"/>
    <n v="303.48"/>
    <n v="5.01"/>
    <n v="298.47000000000003"/>
  </r>
  <r>
    <s v="360B2ADC"/>
    <m/>
    <m/>
    <s v="CUST1357"/>
    <s v="Priya Patel"/>
    <s v="Singapore"/>
    <s v="Athens"/>
    <s v="North Indian"/>
    <s v="Grilled Sandwich"/>
    <n v="2406"/>
    <n v="38.979999999999997"/>
    <n v="2.5"/>
    <n v="38.6"/>
    <n v="2"/>
    <n v="1"/>
    <n v="77.2"/>
    <n v="6.7"/>
    <n v="70.5"/>
  </r>
  <r>
    <s v="464346FC"/>
    <m/>
    <m/>
    <s v="CUST1078"/>
    <s v="John Garcia"/>
    <s v="Singapore"/>
    <s v="Athens"/>
    <s v="Cafe"/>
    <s v="Momos"/>
    <n v="2429"/>
    <n v="16.100000000000001"/>
    <n v="2.2000000000000002"/>
    <n v="30.02"/>
    <n v="2"/>
    <n v="18"/>
    <n v="1080.72"/>
    <n v="2.0499999999999998"/>
    <n v="1078.67"/>
  </r>
  <r>
    <s v="742F20D1"/>
    <m/>
    <m/>
    <s v="CUST1842"/>
    <s v="Priya Patel"/>
    <s v="Indonesia"/>
    <s v="Athens"/>
    <s v="North Indian"/>
    <s v="Masala Dosa"/>
    <n v="78"/>
    <n v="13.9"/>
    <n v="2.1"/>
    <n v="33.03"/>
    <n v="5"/>
    <n v="3"/>
    <n v="495.45000000000005"/>
    <n v="1.68"/>
    <n v="493.77"/>
  </r>
  <r>
    <s v="B3FFC75C"/>
    <m/>
    <m/>
    <s v="CUST5157"/>
    <s v="Sara Garcia"/>
    <s v="Brazil"/>
    <s v="Athens"/>
    <s v="Cafe"/>
    <s v="Sushi Platter"/>
    <n v="1694"/>
    <n v="6.88"/>
    <n v="2.2999999999999998"/>
    <n v="35.200000000000003"/>
    <n v="3"/>
    <n v="16"/>
    <n v="1689.6000000000001"/>
    <n v="9.8800000000000008"/>
    <n v="1679.72"/>
  </r>
  <r>
    <s v="78A468B1"/>
    <m/>
    <m/>
    <s v="CUST5059"/>
    <s v="Sara Taylor"/>
    <s v="Brazil"/>
    <s v="Auckland"/>
    <s v="Chinese"/>
    <s v="Cheeseburger"/>
    <n v="4715"/>
    <n v="14.65"/>
    <n v="2.9"/>
    <n v="27.5"/>
    <n v="5"/>
    <n v="2"/>
    <n v="275"/>
    <n v="0.84"/>
    <n v="274.16000000000003"/>
  </r>
  <r>
    <s v="29369F80"/>
    <m/>
    <m/>
    <s v="CUST9386"/>
    <s v="David Smith"/>
    <s v="Australia"/>
    <s v="Auckland"/>
    <s v="North Indian, Mughlai"/>
    <s v="Momos"/>
    <n v="183"/>
    <n v="28.17"/>
    <n v="4.9000000000000004"/>
    <n v="31.98"/>
    <n v="5"/>
    <n v="4"/>
    <n v="639.6"/>
    <n v="8.89"/>
    <n v="630.71"/>
  </r>
  <r>
    <s v="A6650527"/>
    <m/>
    <m/>
    <s v="CUST1794"/>
    <s v="Sophia Smith"/>
    <s v="Philippines"/>
    <s v="Auckland"/>
    <s v="North Indian, Chinese"/>
    <s v="Cheeseburger"/>
    <n v="482"/>
    <n v="21.67"/>
    <n v="2.5"/>
    <n v="36.94"/>
    <n v="5"/>
    <n v="18"/>
    <n v="3324.6"/>
    <n v="9.69"/>
    <n v="3314.91"/>
  </r>
  <r>
    <s v="596867A1"/>
    <m/>
    <m/>
    <s v="CUST1487"/>
    <s v="Kumar Singh"/>
    <s v="Brazil"/>
    <s v="Auckland"/>
    <s v="North Indian, Mughlai"/>
    <s v="Pasta Alfredo"/>
    <n v="1818"/>
    <n v="6.48"/>
    <n v="2.9"/>
    <n v="21.54"/>
    <n v="1"/>
    <n v="9"/>
    <n v="193.85999999999999"/>
    <n v="0.51"/>
    <n v="193.35"/>
  </r>
  <r>
    <s v="81B84991"/>
    <m/>
    <m/>
    <s v="CUST7266"/>
    <s v="David Patel"/>
    <s v="Canada"/>
    <s v="Auckland"/>
    <s v="North Indian, Mughlai"/>
    <s v="Spring Rolls"/>
    <n v="4124"/>
    <n v="32.96"/>
    <n v="3.3"/>
    <n v="9.3800000000000008"/>
    <n v="3"/>
    <n v="9"/>
    <n v="253.26"/>
    <n v="0.97"/>
    <n v="252.29"/>
  </r>
  <r>
    <s v="EBBA03D1"/>
    <m/>
    <m/>
    <s v="CUST3811"/>
    <s v="Emily Brown"/>
    <s v="South Africa"/>
    <s v="Auckland"/>
    <s v="North Indian"/>
    <s v="Paneer Tikka"/>
    <n v="4843"/>
    <n v="28.02"/>
    <n v="4.5999999999999996"/>
    <n v="39.26"/>
    <n v="3"/>
    <n v="10"/>
    <n v="1177.8"/>
    <n v="2.98"/>
    <n v="1174.82"/>
  </r>
  <r>
    <s v="A8EAC98D"/>
    <m/>
    <m/>
    <s v="CUST9679"/>
    <s v="Priya Brown"/>
    <s v="Indonesia"/>
    <s v="Auckland"/>
    <s v="North Indian, Chinese"/>
    <s v="Grilled Sandwich"/>
    <n v="4167"/>
    <n v="41.73"/>
    <n v="4.8"/>
    <n v="33.200000000000003"/>
    <n v="1"/>
    <n v="8"/>
    <n v="265.60000000000002"/>
    <n v="6.13"/>
    <n v="259.47000000000003"/>
  </r>
  <r>
    <s v="10C60362"/>
    <m/>
    <m/>
    <s v="CUST1801"/>
    <s v="John Garcia"/>
    <s v="Canada"/>
    <s v="Auckland"/>
    <s v="Cafe"/>
    <s v="Momos"/>
    <n v="3720"/>
    <n v="43.68"/>
    <n v="4.7"/>
    <n v="36.97"/>
    <n v="5"/>
    <n v="17"/>
    <n v="3142.45"/>
    <n v="3.49"/>
    <n v="3138.96"/>
  </r>
  <r>
    <s v="EC204BE9"/>
    <m/>
    <m/>
    <s v="CUST1824"/>
    <s v="Priya Patel"/>
    <s v="Qatar"/>
    <s v="Auckland"/>
    <s v="North Indian"/>
    <s v="Spring Rolls"/>
    <n v="2957"/>
    <n v="30.23"/>
    <n v="3.3"/>
    <n v="27.12"/>
    <n v="1"/>
    <n v="1"/>
    <n v="27.12"/>
    <n v="8.0500000000000007"/>
    <n v="19.07"/>
  </r>
  <r>
    <s v="E84B6420"/>
    <m/>
    <m/>
    <s v="CUST9681"/>
    <s v="Priya Sharma"/>
    <s v="New Zealand"/>
    <s v="Auckland"/>
    <s v="Chinese"/>
    <s v="Pasta Alfredo"/>
    <n v="269"/>
    <n v="24.88"/>
    <n v="2.2999999999999998"/>
    <n v="17.920000000000002"/>
    <n v="5"/>
    <n v="17"/>
    <n v="1523.2"/>
    <n v="9.36"/>
    <n v="1513.84"/>
  </r>
  <r>
    <s v="7D3E6160"/>
    <m/>
    <m/>
    <s v="CUST4439"/>
    <s v="Sara Patel"/>
    <s v="Qatar"/>
    <s v="Auckland"/>
    <s v="North Indian, Mughlai"/>
    <s v="Cheeseburger"/>
    <n v="1335"/>
    <n v="17.239999999999998"/>
    <n v="3.7"/>
    <n v="5.86"/>
    <n v="2"/>
    <n v="20"/>
    <n v="234.4"/>
    <n v="4.37"/>
    <n v="230.03"/>
  </r>
  <r>
    <s v="EF0296C8"/>
    <m/>
    <m/>
    <s v="CUST3026"/>
    <s v="Priya Khan"/>
    <s v="Singapore"/>
    <s v="Auckland"/>
    <s v="North Indian"/>
    <s v="Paneer Tikka"/>
    <n v="4710"/>
    <n v="14.52"/>
    <n v="2.9"/>
    <n v="8.6199999999999992"/>
    <n v="4"/>
    <n v="19"/>
    <n v="655.11999999999989"/>
    <n v="9.6300000000000008"/>
    <n v="645.49"/>
  </r>
  <r>
    <s v="EC7352B5"/>
    <m/>
    <m/>
    <s v="CUST2672"/>
    <s v="Ahmed Das"/>
    <s v="New Zealand"/>
    <s v="Auckland"/>
    <s v="North Indian, Mughlai"/>
    <s v="Sushi Platter"/>
    <n v="2996"/>
    <n v="19.45"/>
    <n v="3.7"/>
    <n v="30.65"/>
    <n v="1"/>
    <n v="8"/>
    <n v="245.2"/>
    <n v="5.08"/>
    <n v="240.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18">
    <pivotField showAl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5" firstHeaderRow="1" firstDataRow="1" firstDataCol="1"/>
  <pivotFields count="1">
    <pivotField axis="axisRow" showAll="0">
      <items count="12">
        <item h="1" x="6"/>
        <item h="1" x="9"/>
        <item h="1" x="7"/>
        <item h="1" x="4"/>
        <item h="1" x="2"/>
        <item x="1"/>
        <item h="1" x="5"/>
        <item h="1" x="8"/>
        <item h="1" x="3"/>
        <item h="1" x="0"/>
        <item h="1" x="10"/>
        <item t="default"/>
      </items>
    </pivotField>
  </pivotFields>
  <rowFields count="1">
    <field x="0"/>
  </rowFields>
  <rowItems count="2">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B29:C39"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items count="11">
        <item x="2"/>
        <item x="8"/>
        <item x="9"/>
        <item x="5"/>
        <item x="0"/>
        <item x="4"/>
        <item x="1"/>
        <item x="3"/>
        <item x="6"/>
        <item x="7"/>
        <item t="default"/>
      </items>
    </pivotField>
    <pivotField showAll="0"/>
    <pivotField showAll="0"/>
    <pivotField showAll="0"/>
    <pivotField axis="axisRow" showAll="0">
      <items count="10">
        <item x="8"/>
        <item x="3"/>
        <item x="6"/>
        <item x="1"/>
        <item x="7"/>
        <item x="0"/>
        <item x="4"/>
        <item x="5"/>
        <item x="2"/>
        <item t="default"/>
      </items>
    </pivotField>
    <pivotField showAll="0">
      <items count="6">
        <item x="0"/>
        <item x="2"/>
        <item x="4"/>
        <item x="3"/>
        <item x="1"/>
        <item t="default"/>
      </items>
    </pivotField>
    <pivotField showAll="0"/>
    <pivotField showAll="0"/>
    <pivotField showAll="0"/>
    <pivotField showAll="0"/>
    <pivotField showAll="0">
      <items count="870">
        <item x="678"/>
        <item x="425"/>
        <item x="496"/>
        <item x="579"/>
        <item x="594"/>
        <item x="24"/>
        <item x="356"/>
        <item x="612"/>
        <item x="5"/>
        <item x="214"/>
        <item x="361"/>
        <item x="445"/>
        <item x="864"/>
        <item x="537"/>
        <item x="253"/>
        <item x="340"/>
        <item x="146"/>
        <item x="789"/>
        <item x="506"/>
        <item x="313"/>
        <item x="762"/>
        <item x="467"/>
        <item x="218"/>
        <item x="672"/>
        <item x="625"/>
        <item x="510"/>
        <item x="275"/>
        <item x="295"/>
        <item x="566"/>
        <item x="322"/>
        <item x="58"/>
        <item x="53"/>
        <item x="686"/>
        <item x="764"/>
        <item x="135"/>
        <item x="487"/>
        <item x="705"/>
        <item x="589"/>
        <item x="172"/>
        <item x="347"/>
        <item x="341"/>
        <item x="80"/>
        <item x="154"/>
        <item x="273"/>
        <item x="32"/>
        <item x="66"/>
        <item x="608"/>
        <item x="807"/>
        <item x="379"/>
        <item x="635"/>
        <item x="550"/>
        <item x="578"/>
        <item x="159"/>
        <item x="779"/>
        <item x="198"/>
        <item x="527"/>
        <item x="681"/>
        <item x="7"/>
        <item x="569"/>
        <item x="74"/>
        <item x="196"/>
        <item x="392"/>
        <item x="171"/>
        <item x="453"/>
        <item x="855"/>
        <item x="272"/>
        <item x="849"/>
        <item x="209"/>
        <item x="418"/>
        <item x="144"/>
        <item x="431"/>
        <item x="622"/>
        <item x="846"/>
        <item x="186"/>
        <item x="427"/>
        <item x="776"/>
        <item x="249"/>
        <item x="426"/>
        <item x="630"/>
        <item x="399"/>
        <item x="655"/>
        <item x="67"/>
        <item x="744"/>
        <item x="580"/>
        <item x="827"/>
        <item x="479"/>
        <item x="771"/>
        <item x="82"/>
        <item x="319"/>
        <item x="84"/>
        <item x="235"/>
        <item x="798"/>
        <item x="641"/>
        <item x="694"/>
        <item x="490"/>
        <item x="350"/>
        <item x="78"/>
        <item x="40"/>
        <item x="596"/>
        <item x="437"/>
        <item x="782"/>
        <item x="0"/>
        <item x="50"/>
        <item x="586"/>
        <item x="328"/>
        <item x="568"/>
        <item x="602"/>
        <item x="745"/>
        <item x="408"/>
        <item x="246"/>
        <item x="430"/>
        <item x="416"/>
        <item x="832"/>
        <item x="415"/>
        <item x="104"/>
        <item x="43"/>
        <item x="778"/>
        <item x="266"/>
        <item x="856"/>
        <item x="455"/>
        <item x="719"/>
        <item x="787"/>
        <item x="56"/>
        <item x="548"/>
        <item x="312"/>
        <item x="27"/>
        <item x="374"/>
        <item x="76"/>
        <item x="73"/>
        <item x="8"/>
        <item x="834"/>
        <item x="377"/>
        <item x="463"/>
        <item x="42"/>
        <item x="10"/>
        <item x="193"/>
        <item x="385"/>
        <item x="793"/>
        <item x="89"/>
        <item x="407"/>
        <item x="90"/>
        <item x="283"/>
        <item x="865"/>
        <item x="372"/>
        <item x="151"/>
        <item x="582"/>
        <item x="140"/>
        <item x="167"/>
        <item x="558"/>
        <item x="662"/>
        <item x="269"/>
        <item x="333"/>
        <item x="138"/>
        <item x="773"/>
        <item x="785"/>
        <item x="136"/>
        <item x="94"/>
        <item x="337"/>
        <item x="179"/>
        <item x="45"/>
        <item x="504"/>
        <item x="831"/>
        <item x="645"/>
        <item x="344"/>
        <item x="157"/>
        <item x="314"/>
        <item x="150"/>
        <item x="854"/>
        <item x="488"/>
        <item x="37"/>
        <item x="109"/>
        <item x="227"/>
        <item x="215"/>
        <item x="55"/>
        <item x="404"/>
        <item x="233"/>
        <item x="541"/>
        <item x="671"/>
        <item x="471"/>
        <item x="228"/>
        <item x="199"/>
        <item x="1"/>
        <item x="229"/>
        <item x="422"/>
        <item x="844"/>
        <item x="577"/>
        <item x="64"/>
        <item x="183"/>
        <item x="653"/>
        <item x="39"/>
        <item x="165"/>
        <item x="847"/>
        <item x="861"/>
        <item x="809"/>
        <item x="2"/>
        <item x="238"/>
        <item x="687"/>
        <item x="438"/>
        <item x="329"/>
        <item x="373"/>
        <item x="818"/>
        <item x="851"/>
        <item x="327"/>
        <item x="845"/>
        <item x="465"/>
        <item x="512"/>
        <item x="638"/>
        <item x="643"/>
        <item x="713"/>
        <item x="718"/>
        <item x="335"/>
        <item x="517"/>
        <item x="697"/>
        <item x="584"/>
        <item x="797"/>
        <item x="763"/>
        <item x="691"/>
        <item x="208"/>
        <item x="509"/>
        <item x="459"/>
        <item x="743"/>
        <item x="554"/>
        <item x="823"/>
        <item x="767"/>
        <item x="570"/>
        <item x="755"/>
        <item x="469"/>
        <item x="234"/>
        <item x="185"/>
        <item x="549"/>
        <item x="601"/>
        <item x="381"/>
        <item x="820"/>
        <item x="122"/>
        <item x="391"/>
        <item x="518"/>
        <item x="801"/>
        <item x="412"/>
        <item x="629"/>
        <item x="667"/>
        <item x="561"/>
        <item x="838"/>
        <item x="813"/>
        <item x="382"/>
        <item x="451"/>
        <item x="627"/>
        <item x="503"/>
        <item x="285"/>
        <item x="71"/>
        <item x="128"/>
        <item x="529"/>
        <item x="114"/>
        <item x="256"/>
        <item x="495"/>
        <item x="184"/>
        <item x="225"/>
        <item x="166"/>
        <item x="699"/>
        <item x="534"/>
        <item x="866"/>
        <item x="640"/>
        <item x="351"/>
        <item x="652"/>
        <item x="617"/>
        <item x="513"/>
        <item x="346"/>
        <item x="207"/>
        <item x="803"/>
        <item x="701"/>
        <item x="466"/>
        <item x="222"/>
        <item x="564"/>
        <item x="543"/>
        <item x="201"/>
        <item x="294"/>
        <item x="821"/>
        <item x="264"/>
        <item x="811"/>
        <item x="480"/>
        <item x="395"/>
        <item x="223"/>
        <item x="520"/>
        <item x="673"/>
        <item x="436"/>
        <item x="164"/>
        <item x="540"/>
        <item x="690"/>
        <item x="41"/>
        <item x="842"/>
        <item x="6"/>
        <item x="623"/>
        <item x="486"/>
        <item x="197"/>
        <item x="819"/>
        <item x="539"/>
        <item x="123"/>
        <item x="270"/>
        <item x="664"/>
        <item x="364"/>
        <item x="563"/>
        <item x="212"/>
        <item x="599"/>
        <item x="857"/>
        <item x="500"/>
        <item x="18"/>
        <item x="572"/>
        <item x="628"/>
        <item x="727"/>
        <item x="498"/>
        <item x="368"/>
        <item x="261"/>
        <item x="702"/>
        <item x="168"/>
        <item x="585"/>
        <item x="282"/>
        <item x="17"/>
        <item x="232"/>
        <item x="210"/>
        <item x="279"/>
        <item x="588"/>
        <item x="710"/>
        <item x="188"/>
        <item x="450"/>
        <item x="147"/>
        <item x="62"/>
        <item x="777"/>
        <item x="65"/>
        <item x="286"/>
        <item x="781"/>
        <item x="362"/>
        <item x="155"/>
        <item x="162"/>
        <item x="749"/>
        <item x="516"/>
        <item x="483"/>
        <item x="605"/>
        <item x="620"/>
        <item x="384"/>
        <item x="695"/>
        <item x="81"/>
        <item x="33"/>
        <item x="130"/>
        <item x="441"/>
        <item x="9"/>
        <item x="14"/>
        <item x="650"/>
        <item x="805"/>
        <item x="648"/>
        <item x="258"/>
        <item x="30"/>
        <item x="358"/>
        <item x="398"/>
        <item x="176"/>
        <item x="141"/>
        <item x="330"/>
        <item x="15"/>
        <item x="696"/>
        <item x="598"/>
        <item x="20"/>
        <item x="560"/>
        <item x="737"/>
        <item x="606"/>
        <item x="174"/>
        <item x="751"/>
        <item x="317"/>
        <item x="508"/>
        <item x="131"/>
        <item x="142"/>
        <item x="236"/>
        <item x="658"/>
        <item x="825"/>
        <item x="669"/>
        <item x="721"/>
        <item x="363"/>
        <item x="802"/>
        <item x="117"/>
        <item x="637"/>
        <item x="626"/>
        <item x="321"/>
        <item x="649"/>
        <item x="731"/>
        <item x="853"/>
        <item x="414"/>
        <item x="741"/>
        <item x="434"/>
        <item x="795"/>
        <item x="732"/>
        <item x="289"/>
        <item x="85"/>
        <item x="108"/>
        <item x="378"/>
        <item x="367"/>
        <item x="251"/>
        <item x="69"/>
        <item x="134"/>
        <item x="725"/>
        <item x="11"/>
        <item x="545"/>
        <item x="461"/>
        <item x="182"/>
        <item x="557"/>
        <item x="257"/>
        <item x="522"/>
        <item x="703"/>
        <item x="241"/>
        <item x="23"/>
        <item x="252"/>
        <item x="169"/>
        <item x="670"/>
        <item x="47"/>
        <item x="72"/>
        <item x="307"/>
        <item x="714"/>
        <item x="769"/>
        <item x="145"/>
        <item x="291"/>
        <item x="553"/>
        <item x="202"/>
        <item x="25"/>
        <item x="163"/>
        <item x="525"/>
        <item x="571"/>
        <item x="110"/>
        <item x="524"/>
        <item x="475"/>
        <item x="470"/>
        <item x="676"/>
        <item x="113"/>
        <item x="303"/>
        <item x="535"/>
        <item x="224"/>
        <item x="387"/>
        <item x="433"/>
        <item x="440"/>
        <item x="254"/>
        <item x="758"/>
        <item x="320"/>
        <item x="685"/>
        <item x="587"/>
        <item x="839"/>
        <item x="562"/>
        <item x="812"/>
        <item x="35"/>
        <item x="484"/>
        <item x="410"/>
        <item x="143"/>
        <item x="492"/>
        <item x="736"/>
        <item x="715"/>
        <item x="343"/>
        <item x="365"/>
        <item x="742"/>
        <item x="656"/>
        <item x="126"/>
        <item x="765"/>
        <item x="494"/>
        <item x="405"/>
        <item x="59"/>
        <item x="36"/>
        <item x="590"/>
        <item x="102"/>
        <item x="112"/>
        <item x="49"/>
        <item x="277"/>
        <item x="331"/>
        <item x="759"/>
        <item x="439"/>
        <item x="203"/>
        <item x="666"/>
        <item x="298"/>
        <item x="794"/>
        <item x="181"/>
        <item x="443"/>
        <item x="170"/>
        <item x="48"/>
        <item x="160"/>
        <item x="772"/>
        <item x="315"/>
        <item x="119"/>
        <item x="394"/>
        <item x="432"/>
        <item x="91"/>
        <item x="657"/>
        <item x="189"/>
        <item x="326"/>
        <item x="281"/>
        <item x="810"/>
        <item x="519"/>
        <item x="375"/>
        <item x="271"/>
        <item x="402"/>
        <item x="105"/>
        <item x="867"/>
        <item x="665"/>
        <item x="204"/>
        <item x="446"/>
        <item x="308"/>
        <item x="830"/>
        <item x="850"/>
        <item x="824"/>
        <item x="51"/>
        <item x="28"/>
        <item x="92"/>
        <item x="611"/>
        <item x="462"/>
        <item x="413"/>
        <item x="148"/>
        <item x="597"/>
        <item x="231"/>
        <item x="614"/>
        <item x="460"/>
        <item x="501"/>
        <item x="679"/>
        <item x="790"/>
        <item x="79"/>
        <item x="296"/>
        <item x="677"/>
        <item x="788"/>
        <item x="4"/>
        <item x="633"/>
        <item x="474"/>
        <item x="336"/>
        <item x="101"/>
        <item x="600"/>
        <item x="723"/>
        <item x="489"/>
        <item x="526"/>
        <item x="287"/>
        <item x="401"/>
        <item x="852"/>
        <item x="698"/>
        <item x="70"/>
        <item x="22"/>
        <item x="366"/>
        <item x="16"/>
        <item x="639"/>
        <item x="753"/>
        <item x="93"/>
        <item x="784"/>
        <item x="190"/>
        <item x="768"/>
        <item x="799"/>
        <item x="219"/>
        <item x="152"/>
        <item x="191"/>
        <item x="547"/>
        <item x="472"/>
        <item x="621"/>
        <item x="423"/>
        <item x="499"/>
        <item x="660"/>
        <item x="77"/>
        <item x="613"/>
        <item x="12"/>
        <item x="674"/>
        <item x="267"/>
        <item x="60"/>
        <item x="217"/>
        <item x="752"/>
        <item x="528"/>
        <item x="420"/>
        <item x="523"/>
        <item x="75"/>
        <item x="511"/>
        <item x="829"/>
        <item x="100"/>
        <item x="814"/>
        <item x="720"/>
        <item x="478"/>
        <item x="156"/>
        <item x="111"/>
        <item x="292"/>
        <item x="593"/>
        <item x="595"/>
        <item x="538"/>
        <item x="243"/>
        <item x="531"/>
        <item x="675"/>
        <item x="177"/>
        <item x="369"/>
        <item x="661"/>
        <item x="477"/>
        <item x="288"/>
        <item x="707"/>
        <item x="651"/>
        <item x="786"/>
        <item x="868"/>
        <item x="574"/>
        <item x="780"/>
        <item x="349"/>
        <item x="61"/>
        <item x="323"/>
        <item x="280"/>
        <item x="634"/>
        <item x="573"/>
        <item x="200"/>
        <item x="19"/>
        <item x="458"/>
        <item x="380"/>
        <item x="127"/>
        <item x="360"/>
        <item x="530"/>
        <item x="354"/>
        <item x="837"/>
        <item x="733"/>
        <item x="659"/>
        <item x="262"/>
        <item x="244"/>
        <item x="149"/>
        <item x="863"/>
        <item x="284"/>
        <item x="44"/>
        <item x="309"/>
        <item x="591"/>
        <item x="301"/>
        <item x="468"/>
        <item x="120"/>
        <item x="816"/>
        <item x="734"/>
        <item x="859"/>
        <item x="260"/>
        <item x="505"/>
        <item x="34"/>
        <item x="729"/>
        <item x="103"/>
        <item x="700"/>
        <item x="129"/>
        <item x="428"/>
        <item x="98"/>
        <item x="211"/>
        <item x="206"/>
        <item x="800"/>
        <item x="464"/>
        <item x="393"/>
        <item x="107"/>
        <item x="716"/>
        <item x="717"/>
        <item x="491"/>
        <item x="97"/>
        <item x="205"/>
        <item x="240"/>
        <item x="409"/>
        <item x="132"/>
        <item x="452"/>
        <item x="352"/>
        <item x="456"/>
        <item x="615"/>
        <item x="532"/>
        <item x="390"/>
        <item x="724"/>
        <item x="663"/>
        <item x="833"/>
        <item x="559"/>
        <item x="796"/>
        <item x="304"/>
        <item x="692"/>
        <item x="52"/>
        <item x="121"/>
        <item x="125"/>
        <item x="124"/>
        <item x="728"/>
        <item x="290"/>
        <item x="858"/>
        <item x="783"/>
        <item x="187"/>
        <item x="709"/>
        <item x="497"/>
        <item x="300"/>
        <item x="654"/>
        <item x="738"/>
        <item x="485"/>
        <item x="806"/>
        <item x="604"/>
        <item x="555"/>
        <item x="250"/>
        <item x="115"/>
        <item x="255"/>
        <item x="268"/>
        <item x="276"/>
        <item x="754"/>
        <item x="536"/>
        <item x="63"/>
        <item x="841"/>
        <item x="583"/>
        <item x="817"/>
        <item x="325"/>
        <item x="339"/>
        <item x="631"/>
        <item x="565"/>
        <item x="454"/>
        <item x="642"/>
        <item x="26"/>
        <item x="619"/>
        <item x="376"/>
        <item x="310"/>
        <item x="668"/>
        <item x="682"/>
        <item x="843"/>
        <item x="194"/>
        <item x="448"/>
        <item x="57"/>
        <item x="706"/>
        <item x="840"/>
        <item x="429"/>
        <item x="239"/>
        <item x="603"/>
        <item x="158"/>
        <item x="338"/>
        <item x="624"/>
        <item x="730"/>
        <item x="99"/>
        <item x="396"/>
        <item x="609"/>
        <item x="353"/>
        <item x="750"/>
        <item x="306"/>
        <item x="68"/>
        <item x="739"/>
        <item x="389"/>
        <item x="533"/>
        <item x="245"/>
        <item x="342"/>
        <item x="175"/>
        <item x="305"/>
        <item x="383"/>
        <item x="482"/>
        <item x="424"/>
        <item x="632"/>
        <item x="355"/>
        <item x="311"/>
        <item x="747"/>
        <item x="116"/>
        <item x="761"/>
        <item x="400"/>
        <item x="137"/>
        <item x="507"/>
        <item x="618"/>
        <item x="299"/>
        <item x="247"/>
        <item x="688"/>
        <item x="726"/>
        <item x="180"/>
        <item x="96"/>
        <item x="822"/>
        <item x="473"/>
        <item x="220"/>
        <item x="230"/>
        <item x="616"/>
        <item x="693"/>
        <item x="386"/>
        <item x="514"/>
        <item x="54"/>
        <item x="542"/>
        <item x="689"/>
        <item x="21"/>
        <item x="226"/>
        <item x="444"/>
        <item x="447"/>
        <item x="83"/>
        <item x="835"/>
        <item x="836"/>
        <item x="515"/>
        <item x="644"/>
        <item x="86"/>
        <item x="815"/>
        <item x="680"/>
        <item x="636"/>
        <item x="757"/>
        <item x="278"/>
        <item x="493"/>
        <item x="646"/>
        <item x="3"/>
        <item x="248"/>
        <item x="711"/>
        <item x="263"/>
        <item x="318"/>
        <item x="332"/>
        <item x="38"/>
        <item x="334"/>
        <item x="774"/>
        <item x="735"/>
        <item x="766"/>
        <item x="293"/>
        <item x="791"/>
        <item x="684"/>
        <item x="804"/>
        <item x="106"/>
        <item x="95"/>
        <item x="87"/>
        <item x="449"/>
        <item x="173"/>
        <item x="848"/>
        <item x="388"/>
        <item x="607"/>
        <item x="575"/>
        <item x="345"/>
        <item x="828"/>
        <item x="502"/>
        <item x="237"/>
        <item x="133"/>
        <item x="722"/>
        <item x="521"/>
        <item x="216"/>
        <item x="213"/>
        <item x="421"/>
        <item x="265"/>
        <item x="417"/>
        <item x="178"/>
        <item x="826"/>
        <item x="348"/>
        <item x="792"/>
        <item x="357"/>
        <item x="371"/>
        <item x="370"/>
        <item x="242"/>
        <item x="581"/>
        <item x="552"/>
        <item x="770"/>
        <item x="712"/>
        <item x="546"/>
        <item x="457"/>
        <item x="610"/>
        <item x="860"/>
        <item x="708"/>
        <item x="556"/>
        <item x="139"/>
        <item x="567"/>
        <item x="221"/>
        <item x="442"/>
        <item x="704"/>
        <item x="406"/>
        <item x="476"/>
        <item x="195"/>
        <item x="756"/>
        <item x="862"/>
        <item x="740"/>
        <item x="88"/>
        <item x="403"/>
        <item x="683"/>
        <item x="31"/>
        <item x="775"/>
        <item x="46"/>
        <item x="316"/>
        <item x="153"/>
        <item x="592"/>
        <item x="29"/>
        <item x="760"/>
        <item x="746"/>
        <item x="748"/>
        <item x="419"/>
        <item x="297"/>
        <item x="808"/>
        <item x="302"/>
        <item x="118"/>
        <item x="274"/>
        <item x="647"/>
        <item x="551"/>
        <item x="161"/>
        <item x="13"/>
        <item x="359"/>
        <item x="192"/>
        <item x="397"/>
        <item x="544"/>
        <item x="435"/>
        <item x="481"/>
        <item x="259"/>
        <item x="576"/>
        <item x="411"/>
        <item x="324"/>
        <item t="default"/>
      </items>
    </pivotField>
    <pivotField showAll="0"/>
    <pivotField showAll="0"/>
    <pivotField showAll="0"/>
    <pivotField showAll="0"/>
    <pivotField dataField="1" showAll="0"/>
  </pivotFields>
  <rowFields count="1">
    <field x="6"/>
  </rowFields>
  <rowItems count="10">
    <i>
      <x/>
    </i>
    <i>
      <x v="1"/>
    </i>
    <i>
      <x v="2"/>
    </i>
    <i>
      <x v="3"/>
    </i>
    <i>
      <x v="4"/>
    </i>
    <i>
      <x v="5"/>
    </i>
    <i>
      <x v="6"/>
    </i>
    <i>
      <x v="7"/>
    </i>
    <i>
      <x v="8"/>
    </i>
    <i t="grand">
      <x/>
    </i>
  </rowItems>
  <colItems count="1">
    <i/>
  </colItems>
  <dataFields count="1">
    <dataField name="Sum of Profit" fld="17" baseField="0" baseItem="0"/>
  </dataFields>
  <chartFormats count="20">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6" count="1" selected="0">
            <x v="0"/>
          </reference>
        </references>
      </pivotArea>
    </chartFormat>
    <chartFormat chart="11" format="2">
      <pivotArea type="data" outline="0" fieldPosition="0">
        <references count="2">
          <reference field="4294967294" count="1" selected="0">
            <x v="0"/>
          </reference>
          <reference field="6" count="1" selected="0">
            <x v="1"/>
          </reference>
        </references>
      </pivotArea>
    </chartFormat>
    <chartFormat chart="11" format="3">
      <pivotArea type="data" outline="0" fieldPosition="0">
        <references count="2">
          <reference field="4294967294" count="1" selected="0">
            <x v="0"/>
          </reference>
          <reference field="6" count="1" selected="0">
            <x v="2"/>
          </reference>
        </references>
      </pivotArea>
    </chartFormat>
    <chartFormat chart="11" format="4">
      <pivotArea type="data" outline="0" fieldPosition="0">
        <references count="2">
          <reference field="4294967294" count="1" selected="0">
            <x v="0"/>
          </reference>
          <reference field="6" count="1" selected="0">
            <x v="3"/>
          </reference>
        </references>
      </pivotArea>
    </chartFormat>
    <chartFormat chart="11" format="5">
      <pivotArea type="data" outline="0" fieldPosition="0">
        <references count="2">
          <reference field="4294967294" count="1" selected="0">
            <x v="0"/>
          </reference>
          <reference field="6" count="1" selected="0">
            <x v="4"/>
          </reference>
        </references>
      </pivotArea>
    </chartFormat>
    <chartFormat chart="11" format="6">
      <pivotArea type="data" outline="0" fieldPosition="0">
        <references count="2">
          <reference field="4294967294" count="1" selected="0">
            <x v="0"/>
          </reference>
          <reference field="6" count="1" selected="0">
            <x v="5"/>
          </reference>
        </references>
      </pivotArea>
    </chartFormat>
    <chartFormat chart="11" format="7">
      <pivotArea type="data" outline="0" fieldPosition="0">
        <references count="2">
          <reference field="4294967294" count="1" selected="0">
            <x v="0"/>
          </reference>
          <reference field="6" count="1" selected="0">
            <x v="6"/>
          </reference>
        </references>
      </pivotArea>
    </chartFormat>
    <chartFormat chart="11" format="8">
      <pivotArea type="data" outline="0" fieldPosition="0">
        <references count="2">
          <reference field="4294967294" count="1" selected="0">
            <x v="0"/>
          </reference>
          <reference field="6" count="1" selected="0">
            <x v="7"/>
          </reference>
        </references>
      </pivotArea>
    </chartFormat>
    <chartFormat chart="11" format="9">
      <pivotArea type="data" outline="0" fieldPosition="0">
        <references count="2">
          <reference field="4294967294" count="1" selected="0">
            <x v="0"/>
          </reference>
          <reference field="6" count="1" selected="0">
            <x v="8"/>
          </reference>
        </references>
      </pivotArea>
    </chartFormat>
    <chartFormat chart="22" format="20" series="1">
      <pivotArea type="data" outline="0" fieldPosition="0">
        <references count="1">
          <reference field="4294967294" count="1" selected="0">
            <x v="0"/>
          </reference>
        </references>
      </pivotArea>
    </chartFormat>
    <chartFormat chart="22" format="21">
      <pivotArea type="data" outline="0" fieldPosition="0">
        <references count="2">
          <reference field="4294967294" count="1" selected="0">
            <x v="0"/>
          </reference>
          <reference field="6" count="1" selected="0">
            <x v="0"/>
          </reference>
        </references>
      </pivotArea>
    </chartFormat>
    <chartFormat chart="22" format="22">
      <pivotArea type="data" outline="0" fieldPosition="0">
        <references count="2">
          <reference field="4294967294" count="1" selected="0">
            <x v="0"/>
          </reference>
          <reference field="6" count="1" selected="0">
            <x v="1"/>
          </reference>
        </references>
      </pivotArea>
    </chartFormat>
    <chartFormat chart="22" format="23">
      <pivotArea type="data" outline="0" fieldPosition="0">
        <references count="2">
          <reference field="4294967294" count="1" selected="0">
            <x v="0"/>
          </reference>
          <reference field="6" count="1" selected="0">
            <x v="2"/>
          </reference>
        </references>
      </pivotArea>
    </chartFormat>
    <chartFormat chart="22" format="24">
      <pivotArea type="data" outline="0" fieldPosition="0">
        <references count="2">
          <reference field="4294967294" count="1" selected="0">
            <x v="0"/>
          </reference>
          <reference field="6" count="1" selected="0">
            <x v="3"/>
          </reference>
        </references>
      </pivotArea>
    </chartFormat>
    <chartFormat chart="22" format="25">
      <pivotArea type="data" outline="0" fieldPosition="0">
        <references count="2">
          <reference field="4294967294" count="1" selected="0">
            <x v="0"/>
          </reference>
          <reference field="6" count="1" selected="0">
            <x v="4"/>
          </reference>
        </references>
      </pivotArea>
    </chartFormat>
    <chartFormat chart="22" format="26">
      <pivotArea type="data" outline="0" fieldPosition="0">
        <references count="2">
          <reference field="4294967294" count="1" selected="0">
            <x v="0"/>
          </reference>
          <reference field="6" count="1" selected="0">
            <x v="5"/>
          </reference>
        </references>
      </pivotArea>
    </chartFormat>
    <chartFormat chart="22" format="27">
      <pivotArea type="data" outline="0" fieldPosition="0">
        <references count="2">
          <reference field="4294967294" count="1" selected="0">
            <x v="0"/>
          </reference>
          <reference field="6" count="1" selected="0">
            <x v="6"/>
          </reference>
        </references>
      </pivotArea>
    </chartFormat>
    <chartFormat chart="22" format="28">
      <pivotArea type="data" outline="0" fieldPosition="0">
        <references count="2">
          <reference field="4294967294" count="1" selected="0">
            <x v="0"/>
          </reference>
          <reference field="6" count="1" selected="0">
            <x v="7"/>
          </reference>
        </references>
      </pivotArea>
    </chartFormat>
    <chartFormat chart="22" format="29">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E3:F19"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items count="11">
        <item x="2"/>
        <item x="8"/>
        <item x="9"/>
        <item x="5"/>
        <item x="0"/>
        <item x="4"/>
        <item x="1"/>
        <item x="3"/>
        <item x="6"/>
        <item x="7"/>
        <item t="default"/>
      </items>
    </pivotField>
    <pivotField showAll="0"/>
    <pivotField showAll="0"/>
    <pivotField showAll="0"/>
    <pivotField showAll="0">
      <items count="10">
        <item x="8"/>
        <item x="3"/>
        <item x="6"/>
        <item x="1"/>
        <item x="7"/>
        <item x="0"/>
        <item x="4"/>
        <item x="5"/>
        <item x="2"/>
        <item t="default"/>
      </items>
    </pivotField>
    <pivotField showAll="0">
      <items count="6">
        <item x="0"/>
        <item x="2"/>
        <item x="4"/>
        <item x="3"/>
        <item x="1"/>
        <item t="default"/>
      </items>
    </pivotField>
    <pivotField axis="axisRow" showAll="0">
      <items count="16">
        <item x="11"/>
        <item x="3"/>
        <item x="4"/>
        <item x="13"/>
        <item x="14"/>
        <item x="6"/>
        <item x="12"/>
        <item x="2"/>
        <item x="8"/>
        <item x="1"/>
        <item x="7"/>
        <item x="10"/>
        <item x="9"/>
        <item x="0"/>
        <item x="5"/>
        <item t="default"/>
      </items>
    </pivotField>
    <pivotField showAll="0"/>
    <pivotField showAll="0"/>
    <pivotField showAll="0"/>
    <pivotField showAll="0"/>
    <pivotField dataField="1" showAll="0"/>
    <pivotField showAll="0"/>
    <pivotField showAll="0"/>
    <pivotField showAll="0"/>
    <pivotField showAll="0"/>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Sum of Quantity" fld="13" baseField="0" baseItem="0"/>
  </dataFields>
  <chartFormats count="3">
    <chartFormat chart="4" format="8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A3:B14"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axis="axisRow" showAll="0">
      <items count="11">
        <item x="2"/>
        <item x="8"/>
        <item x="9"/>
        <item x="5"/>
        <item x="0"/>
        <item x="4"/>
        <item x="1"/>
        <item x="3"/>
        <item x="6"/>
        <item x="7"/>
        <item t="default"/>
      </items>
    </pivotField>
    <pivotField showAll="0"/>
    <pivotField showAll="0"/>
    <pivotField showAll="0"/>
    <pivotField showAll="0">
      <items count="10">
        <item x="8"/>
        <item x="3"/>
        <item x="6"/>
        <item x="1"/>
        <item x="7"/>
        <item x="0"/>
        <item x="4"/>
        <item x="5"/>
        <item x="2"/>
        <item t="default"/>
      </items>
    </pivotField>
    <pivotField showAll="0">
      <items count="6">
        <item x="0"/>
        <item x="2"/>
        <item x="4"/>
        <item x="3"/>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  Sales" fld="15" baseField="0" baseItem="0"/>
  </dataFields>
  <chartFormats count="2">
    <chartFormat chart="6"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4">
  <location ref="L28:M39"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axis="axisRow" showAll="0">
      <items count="11">
        <item x="2"/>
        <item x="8"/>
        <item x="9"/>
        <item x="5"/>
        <item x="0"/>
        <item x="4"/>
        <item x="1"/>
        <item x="3"/>
        <item x="6"/>
        <item x="7"/>
        <item t="default"/>
      </items>
    </pivotField>
    <pivotField showAll="0"/>
    <pivotField showAll="0"/>
    <pivotField showAll="0"/>
    <pivotField showAll="0">
      <items count="10">
        <item x="8"/>
        <item x="3"/>
        <item x="6"/>
        <item x="1"/>
        <item x="7"/>
        <item x="0"/>
        <item x="4"/>
        <item x="5"/>
        <item x="2"/>
        <item t="default"/>
      </items>
    </pivotField>
    <pivotField showAll="0">
      <items count="6">
        <item x="0"/>
        <item x="2"/>
        <item x="4"/>
        <item x="3"/>
        <item x="1"/>
        <item t="default"/>
      </items>
    </pivotField>
    <pivotField showAll="0">
      <items count="16">
        <item x="11"/>
        <item x="3"/>
        <item x="4"/>
        <item x="13"/>
        <item x="14"/>
        <item x="6"/>
        <item x="12"/>
        <item x="2"/>
        <item x="8"/>
        <item x="1"/>
        <item x="7"/>
        <item x="10"/>
        <item x="9"/>
        <item x="0"/>
        <item x="5"/>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11">
    <i>
      <x/>
    </i>
    <i>
      <x v="1"/>
    </i>
    <i>
      <x v="2"/>
    </i>
    <i>
      <x v="3"/>
    </i>
    <i>
      <x v="4"/>
    </i>
    <i>
      <x v="5"/>
    </i>
    <i>
      <x v="6"/>
    </i>
    <i>
      <x v="7"/>
    </i>
    <i>
      <x v="8"/>
    </i>
    <i>
      <x v="9"/>
    </i>
    <i t="grand">
      <x/>
    </i>
  </rowItems>
  <colItems count="1">
    <i/>
  </colItems>
  <dataFields count="1">
    <dataField name="Sum of Discount" fld="16" baseField="0" baseItem="0"/>
  </dataFields>
  <chartFormats count="3">
    <chartFormat chart="24"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F31:G44" firstHeaderRow="1" firstDataRow="1" firstDataCol="1"/>
  <pivotFields count="18">
    <pivotField showAll="0"/>
    <pivotField axis="axisRow" numFmtId="14" showAll="0">
      <items count="15">
        <item x="0"/>
        <item x="1"/>
        <item x="2"/>
        <item x="3"/>
        <item x="4"/>
        <item x="5"/>
        <item x="6"/>
        <item x="7"/>
        <item x="8"/>
        <item x="9"/>
        <item x="10"/>
        <item x="11"/>
        <item x="12"/>
        <item x="13"/>
        <item t="default"/>
      </items>
    </pivotField>
    <pivotField showAll="0">
      <items count="11">
        <item x="2"/>
        <item x="8"/>
        <item x="9"/>
        <item x="5"/>
        <item x="0"/>
        <item x="4"/>
        <item x="1"/>
        <item x="3"/>
        <item x="6"/>
        <item x="7"/>
        <item t="default"/>
      </items>
    </pivotField>
    <pivotField showAll="0"/>
    <pivotField showAll="0"/>
    <pivotField showAll="0"/>
    <pivotField showAll="0">
      <items count="10">
        <item x="8"/>
        <item x="3"/>
        <item x="6"/>
        <item x="1"/>
        <item x="7"/>
        <item x="0"/>
        <item x="4"/>
        <item x="5"/>
        <item x="2"/>
        <item t="default"/>
      </items>
    </pivotField>
    <pivotField showAll="0">
      <items count="6">
        <item x="0"/>
        <item x="2"/>
        <item x="4"/>
        <item x="3"/>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1"/>
  </rowFields>
  <rowItems count="13">
    <i>
      <x v="1"/>
    </i>
    <i>
      <x v="2"/>
    </i>
    <i>
      <x v="3"/>
    </i>
    <i>
      <x v="4"/>
    </i>
    <i>
      <x v="5"/>
    </i>
    <i>
      <x v="6"/>
    </i>
    <i>
      <x v="7"/>
    </i>
    <i>
      <x v="8"/>
    </i>
    <i>
      <x v="9"/>
    </i>
    <i>
      <x v="10"/>
    </i>
    <i>
      <x v="11"/>
    </i>
    <i>
      <x v="12"/>
    </i>
    <i t="grand">
      <x/>
    </i>
  </rowItems>
  <colItems count="1">
    <i/>
  </colItems>
  <dataFields count="1">
    <dataField name="Sum of Total  Sales"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2" name="PivotTable4"/>
    <pivotTable tabId="2" name="PivotTable1"/>
    <pivotTable tabId="2" name="PivotTable2"/>
    <pivotTable tabId="2" name="PivotTable3"/>
    <pivotTable tabId="2" name="PivotTable5"/>
  </pivotTables>
  <data>
    <tabular pivotCacheId="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staurant_Name" sourceName="Restaurant Name">
  <pivotTables>
    <pivotTable tabId="2" name="PivotTable1"/>
    <pivotTable tabId="2" name="PivotTable2"/>
    <pivotTable tabId="2" name="PivotTable3"/>
    <pivotTable tabId="2" name="PivotTable4"/>
    <pivotTable tabId="2" name="PivotTable5"/>
  </pivotTables>
  <data>
    <tabular pivotCacheId="1">
      <items count="10">
        <i x="2" s="1"/>
        <i x="8" s="1"/>
        <i x="9" s="1"/>
        <i x="5" s="1"/>
        <i x="0" s="1"/>
        <i x="4" s="1"/>
        <i x="1" s="1"/>
        <i x="3"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1" sourceName="Country">
  <pivotTables>
    <pivotTable tabId="11" name="PivotTable1"/>
  </pivotTables>
  <data>
    <tabular pivotCacheId="2">
      <items count="11">
        <i x="6"/>
        <i x="9"/>
        <i x="7"/>
        <i x="4"/>
        <i x="2"/>
        <i x="1" s="1"/>
        <i x="5"/>
        <i x="8"/>
        <i x="3"/>
        <i x="0"/>
        <i x="1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3"/>
    <pivotTable tabId="2" name="PivotTable1"/>
    <pivotTable tabId="2" name="PivotTable2"/>
    <pivotTable tabId="2" name="PivotTable4"/>
    <pivotTable tabId="2" name="PivotTable5"/>
  </pivotTables>
  <data>
    <tabular pivotCacheId="1">
      <items count="9">
        <i x="8" s="1"/>
        <i x="3" s="1"/>
        <i x="6" s="1"/>
        <i x="1" s="1"/>
        <i x="7" s="1"/>
        <i x="0" s="1"/>
        <i x="4"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ountry" sourceName="Country">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1" cache="Slicer_Country1"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Order Date" cache="Slicer_Order_Date" caption="Order Date" columnCount="6" rowHeight="241300"/>
  <slicer name="Restaurant Name" cache="Slicer_Restaurant_Name" caption="Restaurant Name" startItem="2" rowHeight="241300"/>
  <slicer name="City" cache="Slicer_City" caption="City"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Order Date 1" cache="Slicer_Order_Date" caption="Order Date" columnCount="2" style="SlicerStyleDark2" rowHeight="241300"/>
  <slicer name="Restaurant Name 1" cache="Slicer_Restaurant_Name" caption="Restaurant Name" style="SlicerStyleDark2" rowHeight="457200"/>
  <slicer name="City 1" cache="Slicer_City" caption="City" style="SlicerStyleDark2" rowHeight="457200"/>
</slicers>
</file>

<file path=xl/tables/table1.xml><?xml version="1.0" encoding="utf-8"?>
<table xmlns="http://schemas.openxmlformats.org/spreadsheetml/2006/main" id="2" name="Table2" displayName="Table2" ref="A1:R1001" totalsRowShown="0">
  <autoFilter ref="A1:R1001"/>
  <tableColumns count="18">
    <tableColumn id="1" name="OrderID"/>
    <tableColumn id="2" name="Column1" dataDxfId="0"/>
    <tableColumn id="3" name="Column2"/>
    <tableColumn id="4" name="CustomerID"/>
    <tableColumn id="5" name="Customer Name"/>
    <tableColumn id="6" name="Country"/>
    <tableColumn id="7" name="City"/>
    <tableColumn id="8" name="Cuisine"/>
    <tableColumn id="9" name="Food Name"/>
    <tableColumn id="10" name="Votes"/>
    <tableColumn id="11" name="Average Cost for Two (USD)"/>
    <tableColumn id="12" name="Rating"/>
    <tableColumn id="13" name="Price"/>
    <tableColumn id="14" name="Quantity"/>
    <tableColumn id="15" name="Total Orders"/>
    <tableColumn id="16" name="Total  Sales"/>
    <tableColumn id="17" name="Discount"/>
    <tableColumn id="18"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sheetData>
    <row r="3" spans="1:3" x14ac:dyDescent="0.25">
      <c r="A3" s="2"/>
      <c r="B3" s="3"/>
      <c r="C3" s="4"/>
    </row>
    <row r="4" spans="1:3" x14ac:dyDescent="0.25">
      <c r="A4" s="5"/>
      <c r="B4" s="6"/>
      <c r="C4" s="7"/>
    </row>
    <row r="5" spans="1:3" x14ac:dyDescent="0.25">
      <c r="A5" s="5"/>
      <c r="B5" s="6"/>
      <c r="C5" s="7"/>
    </row>
    <row r="6" spans="1:3" x14ac:dyDescent="0.25">
      <c r="A6" s="5"/>
      <c r="B6" s="6"/>
      <c r="C6" s="7"/>
    </row>
    <row r="7" spans="1:3" x14ac:dyDescent="0.25">
      <c r="A7" s="5"/>
      <c r="B7" s="6"/>
      <c r="C7" s="7"/>
    </row>
    <row r="8" spans="1:3" x14ac:dyDescent="0.25">
      <c r="A8" s="5"/>
      <c r="B8" s="6"/>
      <c r="C8" s="7"/>
    </row>
    <row r="9" spans="1:3" x14ac:dyDescent="0.25">
      <c r="A9" s="5"/>
      <c r="B9" s="6"/>
      <c r="C9" s="7"/>
    </row>
    <row r="10" spans="1:3" x14ac:dyDescent="0.25">
      <c r="A10" s="5"/>
      <c r="B10" s="6"/>
      <c r="C10" s="7"/>
    </row>
    <row r="11" spans="1:3" x14ac:dyDescent="0.25">
      <c r="A11" s="5"/>
      <c r="B11" s="6"/>
      <c r="C11" s="7"/>
    </row>
    <row r="12" spans="1:3" x14ac:dyDescent="0.25">
      <c r="A12" s="5"/>
      <c r="B12" s="6"/>
      <c r="C12" s="7"/>
    </row>
    <row r="13" spans="1:3" x14ac:dyDescent="0.25">
      <c r="A13" s="5"/>
      <c r="B13" s="6"/>
      <c r="C13" s="7"/>
    </row>
    <row r="14" spans="1:3" x14ac:dyDescent="0.25">
      <c r="A14" s="5"/>
      <c r="B14" s="6"/>
      <c r="C14" s="7"/>
    </row>
    <row r="15" spans="1:3" x14ac:dyDescent="0.25">
      <c r="A15" s="5"/>
      <c r="B15" s="6"/>
      <c r="C15" s="7"/>
    </row>
    <row r="16" spans="1:3" x14ac:dyDescent="0.25">
      <c r="A16" s="5"/>
      <c r="B16" s="6"/>
      <c r="C16" s="7"/>
    </row>
    <row r="17" spans="1:3" x14ac:dyDescent="0.25">
      <c r="A17" s="5"/>
      <c r="B17" s="6"/>
      <c r="C17" s="7"/>
    </row>
    <row r="18" spans="1:3" x14ac:dyDescent="0.25">
      <c r="A18" s="5"/>
      <c r="B18" s="6"/>
      <c r="C18" s="7"/>
    </row>
    <row r="19" spans="1:3" x14ac:dyDescent="0.25">
      <c r="A19" s="5"/>
      <c r="B19" s="6"/>
      <c r="C19" s="7"/>
    </row>
    <row r="20" spans="1:3" x14ac:dyDescent="0.25">
      <c r="A20" s="8"/>
      <c r="B20" s="9"/>
      <c r="C2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5"/>
  <sheetViews>
    <sheetView topLeftCell="F1" workbookViewId="0">
      <selection activeCell="A3" sqref="A3:A15"/>
    </sheetView>
  </sheetViews>
  <sheetFormatPr defaultRowHeight="15" x14ac:dyDescent="0.25"/>
  <cols>
    <col min="1" max="1" width="13.140625" bestFit="1" customWidth="1"/>
  </cols>
  <sheetData>
    <row r="3" spans="1:1" x14ac:dyDescent="0.25">
      <c r="A3" s="11" t="s">
        <v>2113</v>
      </c>
    </row>
    <row r="4" spans="1:1" x14ac:dyDescent="0.25">
      <c r="A4" s="12" t="s">
        <v>2074</v>
      </c>
    </row>
    <row r="5" spans="1:1" x14ac:dyDescent="0.25">
      <c r="A5" s="12" t="s">
        <v>2114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1"/>
  <sheetViews>
    <sheetView zoomScaleNormal="100" workbookViewId="0">
      <selection activeCell="C2" sqref="C2"/>
    </sheetView>
  </sheetViews>
  <sheetFormatPr defaultRowHeight="15" x14ac:dyDescent="0.25"/>
  <cols>
    <col min="1" max="1" width="10.140625" customWidth="1"/>
    <col min="3" max="3" width="26" customWidth="1"/>
    <col min="4" max="4" width="13.5703125" customWidth="1"/>
    <col min="5" max="5" width="17.42578125" customWidth="1"/>
    <col min="6" max="6" width="10.140625" customWidth="1"/>
    <col min="8" max="8" width="9.7109375" customWidth="1"/>
    <col min="9" max="9" width="13.28515625" customWidth="1"/>
    <col min="11" max="11" width="27.42578125" customWidth="1"/>
    <col min="14" max="14" width="10.85546875" customWidth="1"/>
    <col min="15" max="15" width="14" customWidth="1"/>
    <col min="16" max="16" width="13" customWidth="1"/>
    <col min="17" max="17" width="10.85546875" customWidth="1"/>
    <col min="21" max="21" width="9.5703125" bestFit="1" customWidth="1"/>
    <col min="22" max="22" width="12.7109375" bestFit="1" customWidth="1"/>
    <col min="27" max="27" width="10.140625" customWidth="1"/>
    <col min="29" max="29" width="12.85546875" style="1" customWidth="1"/>
    <col min="33" max="33" width="18.42578125" customWidth="1"/>
  </cols>
  <sheetData>
    <row r="1" spans="1:33" x14ac:dyDescent="0.25">
      <c r="A1" t="s">
        <v>0</v>
      </c>
      <c r="B1" t="s">
        <v>2144</v>
      </c>
      <c r="C1" t="s">
        <v>2145</v>
      </c>
      <c r="D1" t="s">
        <v>2</v>
      </c>
      <c r="E1" t="s">
        <v>3</v>
      </c>
      <c r="F1" t="s">
        <v>4</v>
      </c>
      <c r="G1" t="s">
        <v>5</v>
      </c>
      <c r="H1" t="s">
        <v>6</v>
      </c>
      <c r="I1" t="s">
        <v>16</v>
      </c>
      <c r="J1" t="s">
        <v>7</v>
      </c>
      <c r="K1" t="s">
        <v>8</v>
      </c>
      <c r="L1" t="s">
        <v>9</v>
      </c>
      <c r="M1" t="s">
        <v>10</v>
      </c>
      <c r="N1" t="s">
        <v>11</v>
      </c>
      <c r="O1" t="s">
        <v>12</v>
      </c>
      <c r="P1" t="s">
        <v>2112</v>
      </c>
      <c r="Q1" t="s">
        <v>13</v>
      </c>
      <c r="R1" t="s">
        <v>14</v>
      </c>
      <c r="AA1" t="s">
        <v>4</v>
      </c>
      <c r="AC1" s="1" t="s">
        <v>15</v>
      </c>
      <c r="AG1" t="s">
        <v>1</v>
      </c>
    </row>
    <row r="2" spans="1:33" x14ac:dyDescent="0.25">
      <c r="A2" t="s">
        <v>40</v>
      </c>
      <c r="D2" t="s">
        <v>1050</v>
      </c>
      <c r="E2" t="s">
        <v>1993</v>
      </c>
      <c r="F2" t="s">
        <v>2075</v>
      </c>
      <c r="G2" t="s">
        <v>2091</v>
      </c>
      <c r="H2" t="s">
        <v>2093</v>
      </c>
      <c r="I2" t="s">
        <v>2101</v>
      </c>
      <c r="J2">
        <v>2819</v>
      </c>
      <c r="K2">
        <v>29.15</v>
      </c>
      <c r="L2">
        <v>2.2000000000000002</v>
      </c>
      <c r="M2">
        <v>21.74</v>
      </c>
      <c r="N2">
        <v>2</v>
      </c>
      <c r="O2">
        <v>9</v>
      </c>
      <c r="P2">
        <v>391.32</v>
      </c>
      <c r="Q2">
        <v>7.84</v>
      </c>
      <c r="R2">
        <v>383.48</v>
      </c>
      <c r="AA2" t="s">
        <v>2075</v>
      </c>
      <c r="AC2" s="1">
        <v>40591</v>
      </c>
      <c r="AG2" t="s">
        <v>1019</v>
      </c>
    </row>
    <row r="3" spans="1:33" ht="21" x14ac:dyDescent="0.35">
      <c r="A3" t="s">
        <v>65</v>
      </c>
      <c r="D3" t="s">
        <v>1075</v>
      </c>
      <c r="E3" t="s">
        <v>1986</v>
      </c>
      <c r="F3" t="s">
        <v>2074</v>
      </c>
      <c r="G3" t="s">
        <v>2091</v>
      </c>
      <c r="H3" t="s">
        <v>2095</v>
      </c>
      <c r="I3" t="s">
        <v>2098</v>
      </c>
      <c r="J3">
        <v>1935</v>
      </c>
      <c r="K3">
        <v>33.58</v>
      </c>
      <c r="L3">
        <v>2.5</v>
      </c>
      <c r="M3">
        <v>21.86</v>
      </c>
      <c r="N3">
        <v>4</v>
      </c>
      <c r="O3">
        <v>12</v>
      </c>
      <c r="P3">
        <v>1049.28</v>
      </c>
      <c r="Q3">
        <v>4.68</v>
      </c>
      <c r="R3">
        <v>1044.5999999999999</v>
      </c>
      <c r="V3" s="15" t="s">
        <v>2136</v>
      </c>
      <c r="AA3" t="s">
        <v>2074</v>
      </c>
      <c r="AC3" s="1">
        <v>40660</v>
      </c>
      <c r="AG3" t="s">
        <v>1025</v>
      </c>
    </row>
    <row r="4" spans="1:33" ht="21" x14ac:dyDescent="0.35">
      <c r="A4" t="s">
        <v>82</v>
      </c>
      <c r="D4" t="s">
        <v>1092</v>
      </c>
      <c r="E4" t="s">
        <v>2017</v>
      </c>
      <c r="F4" t="s">
        <v>2073</v>
      </c>
      <c r="G4" t="s">
        <v>2091</v>
      </c>
      <c r="H4" t="s">
        <v>2092</v>
      </c>
      <c r="I4" t="s">
        <v>2110</v>
      </c>
      <c r="J4">
        <v>2193</v>
      </c>
      <c r="K4">
        <v>31.28</v>
      </c>
      <c r="L4">
        <v>3.6</v>
      </c>
      <c r="M4">
        <v>12.76</v>
      </c>
      <c r="N4">
        <v>2</v>
      </c>
      <c r="O4">
        <v>6</v>
      </c>
      <c r="P4">
        <v>153.12</v>
      </c>
      <c r="Q4">
        <v>4.13</v>
      </c>
      <c r="R4">
        <v>148.99</v>
      </c>
      <c r="V4" s="15">
        <f>COUNTA(AA:AA)</f>
        <v>11</v>
      </c>
      <c r="AA4" t="s">
        <v>2073</v>
      </c>
      <c r="AC4" s="1">
        <v>42640</v>
      </c>
      <c r="AG4" t="s">
        <v>1026</v>
      </c>
    </row>
    <row r="5" spans="1:33" x14ac:dyDescent="0.25">
      <c r="A5" t="s">
        <v>88</v>
      </c>
      <c r="D5" t="s">
        <v>1098</v>
      </c>
      <c r="E5" t="s">
        <v>2021</v>
      </c>
      <c r="F5" t="s">
        <v>2074</v>
      </c>
      <c r="G5" t="s">
        <v>2091</v>
      </c>
      <c r="H5" t="s">
        <v>2095</v>
      </c>
      <c r="I5" t="s">
        <v>2098</v>
      </c>
      <c r="J5">
        <v>2011</v>
      </c>
      <c r="K5">
        <v>10.49</v>
      </c>
      <c r="L5">
        <v>3.7</v>
      </c>
      <c r="M5">
        <v>26.48</v>
      </c>
      <c r="N5">
        <v>4</v>
      </c>
      <c r="O5">
        <v>14</v>
      </c>
      <c r="P5">
        <v>1482.88</v>
      </c>
      <c r="Q5">
        <v>4.1100000000000003</v>
      </c>
      <c r="R5">
        <v>1478.77</v>
      </c>
      <c r="AA5" t="s">
        <v>2082</v>
      </c>
      <c r="AC5" s="1">
        <v>42527</v>
      </c>
      <c r="AG5" t="s">
        <v>1022</v>
      </c>
    </row>
    <row r="6" spans="1:33" x14ac:dyDescent="0.25">
      <c r="A6" t="s">
        <v>293</v>
      </c>
      <c r="D6" t="s">
        <v>1298</v>
      </c>
      <c r="E6" t="s">
        <v>2031</v>
      </c>
      <c r="F6" t="s">
        <v>2082</v>
      </c>
      <c r="G6" t="s">
        <v>2091</v>
      </c>
      <c r="H6" t="s">
        <v>2095</v>
      </c>
      <c r="I6" t="s">
        <v>2111</v>
      </c>
      <c r="J6">
        <v>1845</v>
      </c>
      <c r="K6">
        <v>35.99</v>
      </c>
      <c r="L6">
        <v>3.2</v>
      </c>
      <c r="M6">
        <v>30.29</v>
      </c>
      <c r="N6">
        <v>4</v>
      </c>
      <c r="O6">
        <v>16</v>
      </c>
      <c r="P6">
        <v>1938.56</v>
      </c>
      <c r="Q6">
        <v>1.43</v>
      </c>
      <c r="R6">
        <v>1937.13</v>
      </c>
      <c r="AA6" t="s">
        <v>2081</v>
      </c>
      <c r="AC6" s="1">
        <v>41926</v>
      </c>
      <c r="AG6" t="s">
        <v>1017</v>
      </c>
    </row>
    <row r="7" spans="1:33" ht="21" x14ac:dyDescent="0.35">
      <c r="A7" t="s">
        <v>382</v>
      </c>
      <c r="D7" t="s">
        <v>1383</v>
      </c>
      <c r="E7" t="s">
        <v>2066</v>
      </c>
      <c r="F7" t="s">
        <v>2082</v>
      </c>
      <c r="G7" t="s">
        <v>2091</v>
      </c>
      <c r="H7" t="s">
        <v>2096</v>
      </c>
      <c r="I7" t="s">
        <v>2109</v>
      </c>
      <c r="J7">
        <v>1918</v>
      </c>
      <c r="K7">
        <v>11.75</v>
      </c>
      <c r="L7">
        <v>3.2</v>
      </c>
      <c r="M7">
        <v>32.94</v>
      </c>
      <c r="N7">
        <v>4</v>
      </c>
      <c r="O7">
        <v>2</v>
      </c>
      <c r="P7">
        <v>263.52</v>
      </c>
      <c r="Q7">
        <v>2.31</v>
      </c>
      <c r="R7">
        <v>261.20999999999998</v>
      </c>
      <c r="V7" s="15" t="s">
        <v>2137</v>
      </c>
      <c r="AA7" t="s">
        <v>2079</v>
      </c>
      <c r="AC7" s="1">
        <v>40624</v>
      </c>
      <c r="AG7" t="s">
        <v>1021</v>
      </c>
    </row>
    <row r="8" spans="1:33" ht="18.75" x14ac:dyDescent="0.3">
      <c r="A8" t="s">
        <v>392</v>
      </c>
      <c r="D8" t="s">
        <v>1393</v>
      </c>
      <c r="E8" t="s">
        <v>2066</v>
      </c>
      <c r="F8" t="s">
        <v>2081</v>
      </c>
      <c r="G8" t="s">
        <v>2091</v>
      </c>
      <c r="H8" t="s">
        <v>2095</v>
      </c>
      <c r="I8" t="s">
        <v>2103</v>
      </c>
      <c r="J8">
        <v>2162</v>
      </c>
      <c r="K8">
        <v>47.6</v>
      </c>
      <c r="L8">
        <v>4.4000000000000004</v>
      </c>
      <c r="M8">
        <v>11.99</v>
      </c>
      <c r="N8">
        <v>5</v>
      </c>
      <c r="O8">
        <v>5</v>
      </c>
      <c r="P8">
        <v>299.75</v>
      </c>
      <c r="Q8">
        <v>6.78</v>
      </c>
      <c r="R8">
        <v>292.97000000000003</v>
      </c>
      <c r="V8" s="16">
        <f>SUM(P:P)</f>
        <v>735452.19999999972</v>
      </c>
      <c r="AA8" t="s">
        <v>2076</v>
      </c>
      <c r="AC8" s="1">
        <v>40951</v>
      </c>
      <c r="AG8" t="s">
        <v>1018</v>
      </c>
    </row>
    <row r="9" spans="1:33" x14ac:dyDescent="0.25">
      <c r="A9" t="s">
        <v>720</v>
      </c>
      <c r="D9" t="s">
        <v>1699</v>
      </c>
      <c r="E9" t="s">
        <v>1991</v>
      </c>
      <c r="F9" t="s">
        <v>2074</v>
      </c>
      <c r="G9" t="s">
        <v>2091</v>
      </c>
      <c r="H9" t="s">
        <v>2094</v>
      </c>
      <c r="I9" t="s">
        <v>2099</v>
      </c>
      <c r="J9">
        <v>1991</v>
      </c>
      <c r="K9">
        <v>29.69</v>
      </c>
      <c r="L9">
        <v>2.6</v>
      </c>
      <c r="M9">
        <v>14.81</v>
      </c>
      <c r="N9">
        <v>2</v>
      </c>
      <c r="O9">
        <v>4</v>
      </c>
      <c r="P9">
        <v>118.48</v>
      </c>
      <c r="Q9">
        <v>9.51</v>
      </c>
      <c r="R9">
        <v>108.97</v>
      </c>
      <c r="AA9" t="s">
        <v>2077</v>
      </c>
      <c r="AC9" s="1">
        <v>43261</v>
      </c>
      <c r="AG9" t="s">
        <v>1020</v>
      </c>
    </row>
    <row r="10" spans="1:33" ht="21" x14ac:dyDescent="0.35">
      <c r="A10" t="s">
        <v>59</v>
      </c>
      <c r="D10" t="s">
        <v>1069</v>
      </c>
      <c r="E10" t="s">
        <v>2007</v>
      </c>
      <c r="F10" t="s">
        <v>2074</v>
      </c>
      <c r="G10" t="s">
        <v>2086</v>
      </c>
      <c r="H10" t="s">
        <v>2094</v>
      </c>
      <c r="I10" t="s">
        <v>2109</v>
      </c>
      <c r="J10">
        <v>4921</v>
      </c>
      <c r="K10">
        <v>43.23</v>
      </c>
      <c r="L10">
        <v>3.4</v>
      </c>
      <c r="M10">
        <v>16.89</v>
      </c>
      <c r="N10">
        <v>2</v>
      </c>
      <c r="O10">
        <v>6</v>
      </c>
      <c r="P10">
        <v>202.68</v>
      </c>
      <c r="Q10">
        <v>9.4499999999999993</v>
      </c>
      <c r="R10">
        <v>193.23</v>
      </c>
      <c r="V10" s="15" t="s">
        <v>2138</v>
      </c>
      <c r="AA10" t="s">
        <v>2078</v>
      </c>
      <c r="AC10" s="1">
        <v>40841</v>
      </c>
      <c r="AG10" t="s">
        <v>1023</v>
      </c>
    </row>
    <row r="11" spans="1:33" x14ac:dyDescent="0.25">
      <c r="A11" t="s">
        <v>98</v>
      </c>
      <c r="D11" t="s">
        <v>1108</v>
      </c>
      <c r="E11" t="s">
        <v>1989</v>
      </c>
      <c r="F11" t="s">
        <v>2079</v>
      </c>
      <c r="G11" t="s">
        <v>2086</v>
      </c>
      <c r="H11" t="s">
        <v>2096</v>
      </c>
      <c r="I11" t="s">
        <v>2106</v>
      </c>
      <c r="J11">
        <v>3387</v>
      </c>
      <c r="K11">
        <v>38.19</v>
      </c>
      <c r="L11">
        <v>2.8</v>
      </c>
      <c r="M11">
        <v>6.88</v>
      </c>
      <c r="N11">
        <v>4</v>
      </c>
      <c r="O11">
        <v>20</v>
      </c>
      <c r="P11">
        <v>550.4</v>
      </c>
      <c r="Q11">
        <v>7.95</v>
      </c>
      <c r="R11">
        <v>542.45000000000005</v>
      </c>
      <c r="AA11" t="s">
        <v>2080</v>
      </c>
      <c r="AC11" s="1">
        <v>40375</v>
      </c>
      <c r="AG11" t="s">
        <v>1024</v>
      </c>
    </row>
    <row r="12" spans="1:33" ht="18.75" x14ac:dyDescent="0.3">
      <c r="A12" t="s">
        <v>137</v>
      </c>
      <c r="D12" t="s">
        <v>1146</v>
      </c>
      <c r="E12" t="s">
        <v>2021</v>
      </c>
      <c r="F12" t="s">
        <v>2076</v>
      </c>
      <c r="G12" t="s">
        <v>2086</v>
      </c>
      <c r="H12" t="s">
        <v>2092</v>
      </c>
      <c r="I12" t="s">
        <v>2105</v>
      </c>
      <c r="J12">
        <v>465</v>
      </c>
      <c r="K12">
        <v>34.200000000000003</v>
      </c>
      <c r="L12">
        <v>4.8</v>
      </c>
      <c r="M12">
        <v>20.57</v>
      </c>
      <c r="N12">
        <v>1</v>
      </c>
      <c r="O12">
        <v>4</v>
      </c>
      <c r="P12">
        <v>82.28</v>
      </c>
      <c r="Q12">
        <v>3.45</v>
      </c>
      <c r="R12">
        <v>78.83</v>
      </c>
      <c r="V12" s="16">
        <f>SUM(R:R)</f>
        <v>730400.74</v>
      </c>
      <c r="AC12" s="1">
        <v>43113</v>
      </c>
    </row>
    <row r="13" spans="1:33" x14ac:dyDescent="0.25">
      <c r="A13" t="s">
        <v>189</v>
      </c>
      <c r="D13" t="s">
        <v>1198</v>
      </c>
      <c r="E13" t="s">
        <v>2022</v>
      </c>
      <c r="F13" t="s">
        <v>2077</v>
      </c>
      <c r="G13" t="s">
        <v>2086</v>
      </c>
      <c r="H13" t="s">
        <v>2092</v>
      </c>
      <c r="I13" t="s">
        <v>2098</v>
      </c>
      <c r="J13">
        <v>230</v>
      </c>
      <c r="K13">
        <v>7.75</v>
      </c>
      <c r="L13">
        <v>4.7</v>
      </c>
      <c r="M13">
        <v>11.12</v>
      </c>
      <c r="N13">
        <v>2</v>
      </c>
      <c r="O13">
        <v>10</v>
      </c>
      <c r="P13">
        <v>222.39999999999998</v>
      </c>
      <c r="Q13">
        <v>8.65</v>
      </c>
      <c r="R13">
        <v>213.75</v>
      </c>
      <c r="AC13" s="1">
        <v>41106</v>
      </c>
    </row>
    <row r="14" spans="1:33" ht="18.75" x14ac:dyDescent="0.3">
      <c r="A14" t="s">
        <v>226</v>
      </c>
      <c r="D14" t="s">
        <v>1235</v>
      </c>
      <c r="E14" t="s">
        <v>2033</v>
      </c>
      <c r="F14" t="s">
        <v>2079</v>
      </c>
      <c r="G14" t="s">
        <v>2086</v>
      </c>
      <c r="H14" t="s">
        <v>2093</v>
      </c>
      <c r="I14" t="s">
        <v>2103</v>
      </c>
      <c r="J14">
        <v>581</v>
      </c>
      <c r="K14">
        <v>32.06</v>
      </c>
      <c r="L14">
        <v>3.7</v>
      </c>
      <c r="M14">
        <v>16.21</v>
      </c>
      <c r="N14">
        <v>3</v>
      </c>
      <c r="O14">
        <v>13</v>
      </c>
      <c r="P14">
        <v>632.19000000000005</v>
      </c>
      <c r="Q14">
        <v>4.7699999999999996</v>
      </c>
      <c r="R14">
        <v>627.41999999999996</v>
      </c>
      <c r="V14" s="16" t="s">
        <v>2139</v>
      </c>
      <c r="AC14" s="1">
        <v>40441</v>
      </c>
    </row>
    <row r="15" spans="1:33" x14ac:dyDescent="0.25">
      <c r="A15" t="s">
        <v>230</v>
      </c>
      <c r="D15" t="s">
        <v>1239</v>
      </c>
      <c r="E15" t="s">
        <v>2043</v>
      </c>
      <c r="F15" t="s">
        <v>2078</v>
      </c>
      <c r="G15" t="s">
        <v>2086</v>
      </c>
      <c r="H15" t="s">
        <v>2095</v>
      </c>
      <c r="I15" t="s">
        <v>2100</v>
      </c>
      <c r="J15">
        <v>2140</v>
      </c>
      <c r="K15">
        <v>37.590000000000003</v>
      </c>
      <c r="L15">
        <v>1.4</v>
      </c>
      <c r="M15">
        <v>31.32</v>
      </c>
      <c r="N15">
        <v>1</v>
      </c>
      <c r="O15">
        <v>3</v>
      </c>
      <c r="P15">
        <v>93.960000000000008</v>
      </c>
      <c r="Q15">
        <v>0.11</v>
      </c>
      <c r="R15">
        <v>93.85</v>
      </c>
      <c r="AC15" s="1">
        <v>42184</v>
      </c>
    </row>
    <row r="16" spans="1:33" ht="18.75" x14ac:dyDescent="0.3">
      <c r="A16" t="s">
        <v>458</v>
      </c>
      <c r="D16" t="s">
        <v>1456</v>
      </c>
      <c r="E16" t="s">
        <v>2063</v>
      </c>
      <c r="F16" t="s">
        <v>2073</v>
      </c>
      <c r="G16" t="s">
        <v>2086</v>
      </c>
      <c r="H16" t="s">
        <v>2093</v>
      </c>
      <c r="I16" t="s">
        <v>2106</v>
      </c>
      <c r="J16">
        <v>1414</v>
      </c>
      <c r="K16">
        <v>28.16</v>
      </c>
      <c r="L16">
        <v>4.2</v>
      </c>
      <c r="M16">
        <v>38.42</v>
      </c>
      <c r="N16">
        <v>3</v>
      </c>
      <c r="O16">
        <v>7</v>
      </c>
      <c r="P16">
        <v>806.82</v>
      </c>
      <c r="Q16">
        <v>7.88</v>
      </c>
      <c r="R16">
        <v>798.94</v>
      </c>
      <c r="V16" s="17">
        <f>AVERAGE(K:K)</f>
        <v>27.659679999999987</v>
      </c>
      <c r="AC16" s="1">
        <v>41223</v>
      </c>
    </row>
    <row r="17" spans="1:29" x14ac:dyDescent="0.25">
      <c r="A17" t="s">
        <v>471</v>
      </c>
      <c r="D17" t="s">
        <v>1469</v>
      </c>
      <c r="E17" t="s">
        <v>2035</v>
      </c>
      <c r="F17" t="s">
        <v>2075</v>
      </c>
      <c r="G17" t="s">
        <v>2086</v>
      </c>
      <c r="H17" t="s">
        <v>2096</v>
      </c>
      <c r="I17" t="s">
        <v>2102</v>
      </c>
      <c r="J17">
        <v>3511</v>
      </c>
      <c r="K17">
        <v>24.07</v>
      </c>
      <c r="L17">
        <v>3.3</v>
      </c>
      <c r="M17">
        <v>7.7</v>
      </c>
      <c r="N17">
        <v>2</v>
      </c>
      <c r="O17">
        <v>15</v>
      </c>
      <c r="P17">
        <v>231</v>
      </c>
      <c r="Q17">
        <v>2.3199999999999998</v>
      </c>
      <c r="R17">
        <v>228.68</v>
      </c>
      <c r="AC17" s="1">
        <v>42798</v>
      </c>
    </row>
    <row r="18" spans="1:29" ht="21" x14ac:dyDescent="0.35">
      <c r="A18" t="s">
        <v>615</v>
      </c>
      <c r="D18" t="s">
        <v>1601</v>
      </c>
      <c r="E18" t="s">
        <v>2068</v>
      </c>
      <c r="F18" t="s">
        <v>2077</v>
      </c>
      <c r="G18" t="s">
        <v>2086</v>
      </c>
      <c r="H18" t="s">
        <v>2094</v>
      </c>
      <c r="I18" t="s">
        <v>2097</v>
      </c>
      <c r="J18">
        <v>2665</v>
      </c>
      <c r="K18">
        <v>46.13</v>
      </c>
      <c r="L18">
        <v>3.7</v>
      </c>
      <c r="M18">
        <v>21.49</v>
      </c>
      <c r="N18">
        <v>2</v>
      </c>
      <c r="O18">
        <v>2</v>
      </c>
      <c r="P18">
        <v>85.96</v>
      </c>
      <c r="Q18">
        <v>2.1</v>
      </c>
      <c r="R18">
        <v>83.86</v>
      </c>
      <c r="V18" s="15" t="s">
        <v>2140</v>
      </c>
      <c r="AC18" s="1">
        <v>41389</v>
      </c>
    </row>
    <row r="19" spans="1:29" ht="18.75" x14ac:dyDescent="0.3">
      <c r="A19" t="s">
        <v>862</v>
      </c>
      <c r="D19" t="s">
        <v>1830</v>
      </c>
      <c r="E19" t="s">
        <v>2063</v>
      </c>
      <c r="F19" t="s">
        <v>2077</v>
      </c>
      <c r="G19" t="s">
        <v>2086</v>
      </c>
      <c r="H19" t="s">
        <v>2093</v>
      </c>
      <c r="I19" t="s">
        <v>2103</v>
      </c>
      <c r="J19">
        <v>2083</v>
      </c>
      <c r="K19">
        <v>46.17</v>
      </c>
      <c r="L19">
        <v>2.9</v>
      </c>
      <c r="M19">
        <v>39.14</v>
      </c>
      <c r="N19">
        <v>2</v>
      </c>
      <c r="O19">
        <v>9</v>
      </c>
      <c r="P19">
        <v>704.52</v>
      </c>
      <c r="Q19">
        <v>4.0599999999999996</v>
      </c>
      <c r="R19">
        <v>700.46</v>
      </c>
      <c r="V19" s="16">
        <f>AVERAGE(L:L)</f>
        <v>3.0710000000000002</v>
      </c>
      <c r="AC19" s="1">
        <v>43311</v>
      </c>
    </row>
    <row r="20" spans="1:29" x14ac:dyDescent="0.25">
      <c r="A20" t="s">
        <v>931</v>
      </c>
      <c r="D20" t="s">
        <v>1896</v>
      </c>
      <c r="E20" t="s">
        <v>2049</v>
      </c>
      <c r="F20" t="s">
        <v>2073</v>
      </c>
      <c r="G20" t="s">
        <v>2086</v>
      </c>
      <c r="H20" t="s">
        <v>2096</v>
      </c>
      <c r="I20" t="s">
        <v>2098</v>
      </c>
      <c r="J20">
        <v>1899</v>
      </c>
      <c r="K20">
        <v>40.799999999999997</v>
      </c>
      <c r="L20">
        <v>1.5</v>
      </c>
      <c r="M20">
        <v>15.98</v>
      </c>
      <c r="N20">
        <v>1</v>
      </c>
      <c r="O20">
        <v>10</v>
      </c>
      <c r="P20">
        <v>159.80000000000001</v>
      </c>
      <c r="Q20">
        <v>8.8000000000000007</v>
      </c>
      <c r="R20">
        <v>151</v>
      </c>
      <c r="AC20" s="1">
        <v>42266</v>
      </c>
    </row>
    <row r="21" spans="1:29" x14ac:dyDescent="0.25">
      <c r="A21" t="s">
        <v>39</v>
      </c>
      <c r="D21" t="s">
        <v>1049</v>
      </c>
      <c r="E21" t="s">
        <v>1992</v>
      </c>
      <c r="F21" t="s">
        <v>2073</v>
      </c>
      <c r="G21" t="s">
        <v>2089</v>
      </c>
      <c r="H21" t="s">
        <v>2092</v>
      </c>
      <c r="I21" t="s">
        <v>2109</v>
      </c>
      <c r="J21">
        <v>1862</v>
      </c>
      <c r="K21">
        <v>17.670000000000002</v>
      </c>
      <c r="L21">
        <v>3.8</v>
      </c>
      <c r="M21">
        <v>26.52</v>
      </c>
      <c r="N21">
        <v>3</v>
      </c>
      <c r="O21">
        <v>16</v>
      </c>
      <c r="P21">
        <v>1272.96</v>
      </c>
      <c r="Q21">
        <v>0.01</v>
      </c>
      <c r="R21">
        <v>1272.95</v>
      </c>
      <c r="AC21" s="1">
        <v>40718</v>
      </c>
    </row>
    <row r="22" spans="1:29" x14ac:dyDescent="0.25">
      <c r="A22" t="s">
        <v>162</v>
      </c>
      <c r="D22" t="s">
        <v>1171</v>
      </c>
      <c r="E22" t="s">
        <v>2047</v>
      </c>
      <c r="F22" t="s">
        <v>2074</v>
      </c>
      <c r="G22" t="s">
        <v>2089</v>
      </c>
      <c r="H22" t="s">
        <v>2095</v>
      </c>
      <c r="I22" t="s">
        <v>2107</v>
      </c>
      <c r="J22">
        <v>2602</v>
      </c>
      <c r="K22">
        <v>34.409999999999997</v>
      </c>
      <c r="L22">
        <v>2.8</v>
      </c>
      <c r="M22">
        <v>19.559999999999999</v>
      </c>
      <c r="N22">
        <v>2</v>
      </c>
      <c r="O22">
        <v>18</v>
      </c>
      <c r="P22">
        <v>704.16</v>
      </c>
      <c r="Q22">
        <v>6.9</v>
      </c>
      <c r="R22">
        <v>697.26</v>
      </c>
      <c r="AC22" s="1">
        <v>40370</v>
      </c>
    </row>
    <row r="23" spans="1:29" x14ac:dyDescent="0.25">
      <c r="A23" t="s">
        <v>175</v>
      </c>
      <c r="D23" t="s">
        <v>1184</v>
      </c>
      <c r="E23" t="s">
        <v>1991</v>
      </c>
      <c r="F23" t="s">
        <v>2078</v>
      </c>
      <c r="G23" t="s">
        <v>2089</v>
      </c>
      <c r="H23" t="s">
        <v>2094</v>
      </c>
      <c r="I23" t="s">
        <v>2111</v>
      </c>
      <c r="J23">
        <v>3660</v>
      </c>
      <c r="K23">
        <v>28.61</v>
      </c>
      <c r="L23">
        <v>4.2</v>
      </c>
      <c r="M23">
        <v>6.99</v>
      </c>
      <c r="N23">
        <v>4</v>
      </c>
      <c r="O23">
        <v>20</v>
      </c>
      <c r="P23">
        <v>559.20000000000005</v>
      </c>
      <c r="Q23">
        <v>5.56</v>
      </c>
      <c r="R23">
        <v>553.64</v>
      </c>
      <c r="AC23" s="1">
        <v>42474</v>
      </c>
    </row>
    <row r="24" spans="1:29" x14ac:dyDescent="0.25">
      <c r="A24" t="s">
        <v>225</v>
      </c>
      <c r="D24" t="s">
        <v>1234</v>
      </c>
      <c r="E24" t="s">
        <v>2018</v>
      </c>
      <c r="F24" t="s">
        <v>2075</v>
      </c>
      <c r="G24" t="s">
        <v>2089</v>
      </c>
      <c r="H24" t="s">
        <v>2096</v>
      </c>
      <c r="I24" t="s">
        <v>2111</v>
      </c>
      <c r="J24">
        <v>4657</v>
      </c>
      <c r="K24">
        <v>30.56</v>
      </c>
      <c r="L24">
        <v>2.1</v>
      </c>
      <c r="M24">
        <v>29.85</v>
      </c>
      <c r="N24">
        <v>2</v>
      </c>
      <c r="O24">
        <v>4</v>
      </c>
      <c r="P24">
        <v>238.8</v>
      </c>
      <c r="Q24">
        <v>0.05</v>
      </c>
      <c r="R24">
        <v>238.75</v>
      </c>
      <c r="V24" t="s">
        <v>2147</v>
      </c>
      <c r="AC24" s="1">
        <v>42921</v>
      </c>
    </row>
    <row r="25" spans="1:29" ht="23.25" x14ac:dyDescent="0.35">
      <c r="A25" t="s">
        <v>335</v>
      </c>
      <c r="D25" t="s">
        <v>1338</v>
      </c>
      <c r="E25" t="s">
        <v>1973</v>
      </c>
      <c r="F25" t="s">
        <v>2078</v>
      </c>
      <c r="G25" t="s">
        <v>2089</v>
      </c>
      <c r="H25" t="s">
        <v>2093</v>
      </c>
      <c r="I25" t="s">
        <v>2111</v>
      </c>
      <c r="J25">
        <v>4192</v>
      </c>
      <c r="K25">
        <v>28.67</v>
      </c>
      <c r="L25">
        <v>3.4</v>
      </c>
      <c r="M25">
        <v>35.14</v>
      </c>
      <c r="N25">
        <v>3</v>
      </c>
      <c r="O25">
        <v>8</v>
      </c>
      <c r="P25">
        <v>843.36</v>
      </c>
      <c r="Q25">
        <v>8.7200000000000006</v>
      </c>
      <c r="R25">
        <v>834.64</v>
      </c>
      <c r="V25" s="21">
        <f>SUM(O:O)</f>
        <v>10732</v>
      </c>
      <c r="AC25" s="1">
        <v>42589</v>
      </c>
    </row>
    <row r="26" spans="1:29" x14ac:dyDescent="0.25">
      <c r="A26" t="s">
        <v>448</v>
      </c>
      <c r="D26" t="s">
        <v>1446</v>
      </c>
      <c r="E26" t="s">
        <v>2012</v>
      </c>
      <c r="F26" t="s">
        <v>2081</v>
      </c>
      <c r="G26" t="s">
        <v>2089</v>
      </c>
      <c r="H26" t="s">
        <v>2092</v>
      </c>
      <c r="I26" t="s">
        <v>2111</v>
      </c>
      <c r="J26">
        <v>660</v>
      </c>
      <c r="K26">
        <v>35.04</v>
      </c>
      <c r="L26">
        <v>3.5</v>
      </c>
      <c r="M26">
        <v>39.56</v>
      </c>
      <c r="N26">
        <v>5</v>
      </c>
      <c r="O26">
        <v>16</v>
      </c>
      <c r="P26">
        <v>3164.8</v>
      </c>
      <c r="Q26">
        <v>3.23</v>
      </c>
      <c r="R26">
        <v>3161.57</v>
      </c>
      <c r="AC26" s="1">
        <v>42984</v>
      </c>
    </row>
    <row r="27" spans="1:29" x14ac:dyDescent="0.25">
      <c r="A27" t="s">
        <v>562</v>
      </c>
      <c r="D27" t="s">
        <v>1555</v>
      </c>
      <c r="E27" t="s">
        <v>2001</v>
      </c>
      <c r="F27" t="s">
        <v>2073</v>
      </c>
      <c r="G27" t="s">
        <v>2089</v>
      </c>
      <c r="H27" t="s">
        <v>2095</v>
      </c>
      <c r="I27" t="s">
        <v>2100</v>
      </c>
      <c r="J27">
        <v>1080</v>
      </c>
      <c r="K27">
        <v>32.72</v>
      </c>
      <c r="L27">
        <v>2.9</v>
      </c>
      <c r="M27">
        <v>25.76</v>
      </c>
      <c r="N27">
        <v>4</v>
      </c>
      <c r="O27">
        <v>14</v>
      </c>
      <c r="P27">
        <v>1442.5600000000002</v>
      </c>
      <c r="Q27">
        <v>9.99</v>
      </c>
      <c r="R27">
        <v>1432.57</v>
      </c>
      <c r="AC27" s="1">
        <v>41452</v>
      </c>
    </row>
    <row r="28" spans="1:29" x14ac:dyDescent="0.25">
      <c r="A28" t="s">
        <v>599</v>
      </c>
      <c r="D28" t="s">
        <v>1586</v>
      </c>
      <c r="E28" t="s">
        <v>2012</v>
      </c>
      <c r="F28" t="s">
        <v>2075</v>
      </c>
      <c r="G28" t="s">
        <v>2089</v>
      </c>
      <c r="H28" t="s">
        <v>2095</v>
      </c>
      <c r="I28" t="s">
        <v>2099</v>
      </c>
      <c r="J28">
        <v>1831</v>
      </c>
      <c r="K28">
        <v>34.9</v>
      </c>
      <c r="L28">
        <v>3.1</v>
      </c>
      <c r="M28">
        <v>28.56</v>
      </c>
      <c r="N28">
        <v>2</v>
      </c>
      <c r="O28">
        <v>19</v>
      </c>
      <c r="P28">
        <v>1085.28</v>
      </c>
      <c r="Q28">
        <v>4.8600000000000003</v>
      </c>
      <c r="R28">
        <v>1080.42</v>
      </c>
      <c r="AC28" s="1">
        <v>43136</v>
      </c>
    </row>
    <row r="29" spans="1:29" x14ac:dyDescent="0.25">
      <c r="A29" t="s">
        <v>721</v>
      </c>
      <c r="D29" t="s">
        <v>1700</v>
      </c>
      <c r="E29" t="s">
        <v>2061</v>
      </c>
      <c r="F29" t="s">
        <v>2073</v>
      </c>
      <c r="G29" t="s">
        <v>2089</v>
      </c>
      <c r="H29" t="s">
        <v>2096</v>
      </c>
      <c r="I29" t="s">
        <v>2101</v>
      </c>
      <c r="J29">
        <v>2571</v>
      </c>
      <c r="K29">
        <v>41.63</v>
      </c>
      <c r="L29">
        <v>3.9</v>
      </c>
      <c r="M29">
        <v>17.649999999999999</v>
      </c>
      <c r="N29">
        <v>1</v>
      </c>
      <c r="O29">
        <v>20</v>
      </c>
      <c r="P29">
        <v>353</v>
      </c>
      <c r="Q29">
        <v>9.3000000000000007</v>
      </c>
      <c r="R29">
        <v>343.7</v>
      </c>
      <c r="AC29" s="1">
        <v>43430</v>
      </c>
    </row>
    <row r="30" spans="1:29" x14ac:dyDescent="0.25">
      <c r="A30" t="s">
        <v>816</v>
      </c>
      <c r="D30" t="s">
        <v>1787</v>
      </c>
      <c r="E30" t="s">
        <v>2071</v>
      </c>
      <c r="F30" t="s">
        <v>2081</v>
      </c>
      <c r="G30" t="s">
        <v>2089</v>
      </c>
      <c r="H30" t="s">
        <v>2096</v>
      </c>
      <c r="I30" t="s">
        <v>2109</v>
      </c>
      <c r="J30">
        <v>1524</v>
      </c>
      <c r="K30">
        <v>7.59</v>
      </c>
      <c r="L30">
        <v>3.4</v>
      </c>
      <c r="M30">
        <v>32.18</v>
      </c>
      <c r="N30">
        <v>4</v>
      </c>
      <c r="O30">
        <v>17</v>
      </c>
      <c r="P30">
        <v>2188.2399999999998</v>
      </c>
      <c r="Q30">
        <v>3.27</v>
      </c>
      <c r="R30">
        <v>2184.9699999999998</v>
      </c>
      <c r="AC30" s="1">
        <v>40994</v>
      </c>
    </row>
    <row r="31" spans="1:29" x14ac:dyDescent="0.25">
      <c r="A31" t="s">
        <v>829</v>
      </c>
      <c r="D31" t="s">
        <v>1799</v>
      </c>
      <c r="E31" t="s">
        <v>2047</v>
      </c>
      <c r="F31" t="s">
        <v>2081</v>
      </c>
      <c r="G31" t="s">
        <v>2089</v>
      </c>
      <c r="H31" t="s">
        <v>2094</v>
      </c>
      <c r="I31" t="s">
        <v>2111</v>
      </c>
      <c r="J31">
        <v>979</v>
      </c>
      <c r="K31">
        <v>13.78</v>
      </c>
      <c r="L31">
        <v>3.1</v>
      </c>
      <c r="M31">
        <v>7.46</v>
      </c>
      <c r="N31">
        <v>5</v>
      </c>
      <c r="O31">
        <v>1</v>
      </c>
      <c r="P31">
        <v>37.299999999999997</v>
      </c>
      <c r="Q31">
        <v>5.91</v>
      </c>
      <c r="R31">
        <v>31.39</v>
      </c>
      <c r="AC31" s="1">
        <v>40267</v>
      </c>
    </row>
    <row r="32" spans="1:29" x14ac:dyDescent="0.25">
      <c r="A32" t="s">
        <v>871</v>
      </c>
      <c r="D32" t="s">
        <v>1837</v>
      </c>
      <c r="E32" t="s">
        <v>2023</v>
      </c>
      <c r="F32" t="s">
        <v>2078</v>
      </c>
      <c r="G32" t="s">
        <v>2089</v>
      </c>
      <c r="H32" t="s">
        <v>2095</v>
      </c>
      <c r="I32" t="s">
        <v>2105</v>
      </c>
      <c r="J32">
        <v>847</v>
      </c>
      <c r="K32">
        <v>10.72</v>
      </c>
      <c r="L32">
        <v>2.6</v>
      </c>
      <c r="M32">
        <v>38.68</v>
      </c>
      <c r="N32">
        <v>5</v>
      </c>
      <c r="O32">
        <v>2</v>
      </c>
      <c r="P32">
        <v>386.8</v>
      </c>
      <c r="Q32">
        <v>2.12</v>
      </c>
      <c r="R32">
        <v>384.68</v>
      </c>
      <c r="AC32" s="1">
        <v>40847</v>
      </c>
    </row>
    <row r="33" spans="1:29" x14ac:dyDescent="0.25">
      <c r="A33" t="s">
        <v>899</v>
      </c>
      <c r="D33" t="s">
        <v>1864</v>
      </c>
      <c r="E33" t="s">
        <v>1977</v>
      </c>
      <c r="F33" t="s">
        <v>2075</v>
      </c>
      <c r="G33" t="s">
        <v>2089</v>
      </c>
      <c r="H33" t="s">
        <v>2095</v>
      </c>
      <c r="I33" t="s">
        <v>2102</v>
      </c>
      <c r="J33">
        <v>2035</v>
      </c>
      <c r="K33">
        <v>29.63</v>
      </c>
      <c r="L33">
        <v>2.2000000000000002</v>
      </c>
      <c r="M33">
        <v>18.53</v>
      </c>
      <c r="N33">
        <v>3</v>
      </c>
      <c r="O33">
        <v>14</v>
      </c>
      <c r="P33">
        <v>778.26</v>
      </c>
      <c r="Q33">
        <v>3.91</v>
      </c>
      <c r="R33">
        <v>774.35</v>
      </c>
      <c r="AC33" s="1">
        <v>42974</v>
      </c>
    </row>
    <row r="34" spans="1:29" x14ac:dyDescent="0.25">
      <c r="A34" t="s">
        <v>937</v>
      </c>
      <c r="D34" t="s">
        <v>1459</v>
      </c>
      <c r="E34" t="s">
        <v>2069</v>
      </c>
      <c r="F34" t="s">
        <v>2073</v>
      </c>
      <c r="G34" t="s">
        <v>2089</v>
      </c>
      <c r="H34" t="s">
        <v>2092</v>
      </c>
      <c r="I34" t="s">
        <v>2109</v>
      </c>
      <c r="J34">
        <v>618</v>
      </c>
      <c r="K34">
        <v>18.510000000000002</v>
      </c>
      <c r="L34">
        <v>1.3</v>
      </c>
      <c r="M34">
        <v>39.29</v>
      </c>
      <c r="N34">
        <v>3</v>
      </c>
      <c r="O34">
        <v>7</v>
      </c>
      <c r="P34">
        <v>825.09</v>
      </c>
      <c r="Q34">
        <v>2.5099999999999998</v>
      </c>
      <c r="R34">
        <v>822.58</v>
      </c>
      <c r="AC34" s="1">
        <v>40997</v>
      </c>
    </row>
    <row r="35" spans="1:29" x14ac:dyDescent="0.25">
      <c r="A35" t="s">
        <v>70</v>
      </c>
      <c r="D35" t="s">
        <v>1080</v>
      </c>
      <c r="E35" t="s">
        <v>2012</v>
      </c>
      <c r="F35" t="s">
        <v>2075</v>
      </c>
      <c r="G35" t="s">
        <v>2084</v>
      </c>
      <c r="H35" t="s">
        <v>2094</v>
      </c>
      <c r="I35" t="s">
        <v>2103</v>
      </c>
      <c r="J35">
        <v>3491</v>
      </c>
      <c r="K35">
        <v>40.04</v>
      </c>
      <c r="L35">
        <v>4.0999999999999996</v>
      </c>
      <c r="M35">
        <v>31.94</v>
      </c>
      <c r="N35">
        <v>5</v>
      </c>
      <c r="O35">
        <v>6</v>
      </c>
      <c r="P35">
        <v>958.2</v>
      </c>
      <c r="Q35">
        <v>9.4499999999999993</v>
      </c>
      <c r="R35">
        <v>948.75</v>
      </c>
      <c r="AC35" s="1">
        <v>42655</v>
      </c>
    </row>
    <row r="36" spans="1:29" x14ac:dyDescent="0.25">
      <c r="A36" t="s">
        <v>140</v>
      </c>
      <c r="D36" t="s">
        <v>1149</v>
      </c>
      <c r="E36" t="s">
        <v>2017</v>
      </c>
      <c r="F36" t="s">
        <v>2074</v>
      </c>
      <c r="G36" t="s">
        <v>2084</v>
      </c>
      <c r="H36" t="s">
        <v>2094</v>
      </c>
      <c r="I36" t="s">
        <v>2097</v>
      </c>
      <c r="J36">
        <v>1155</v>
      </c>
      <c r="K36">
        <v>14.32</v>
      </c>
      <c r="L36">
        <v>4</v>
      </c>
      <c r="M36">
        <v>30.64</v>
      </c>
      <c r="N36">
        <v>1</v>
      </c>
      <c r="O36">
        <v>17</v>
      </c>
      <c r="P36">
        <v>520.88</v>
      </c>
      <c r="Q36">
        <v>3.99</v>
      </c>
      <c r="R36">
        <v>516.89</v>
      </c>
      <c r="AC36" s="1">
        <v>41456</v>
      </c>
    </row>
    <row r="37" spans="1:29" x14ac:dyDescent="0.25">
      <c r="A37" t="s">
        <v>231</v>
      </c>
      <c r="D37" t="s">
        <v>1240</v>
      </c>
      <c r="E37" t="s">
        <v>2033</v>
      </c>
      <c r="F37" t="s">
        <v>2075</v>
      </c>
      <c r="G37" t="s">
        <v>2084</v>
      </c>
      <c r="H37" t="s">
        <v>2094</v>
      </c>
      <c r="I37" t="s">
        <v>2100</v>
      </c>
      <c r="J37">
        <v>4702</v>
      </c>
      <c r="K37">
        <v>49.61</v>
      </c>
      <c r="L37">
        <v>2.8</v>
      </c>
      <c r="M37">
        <v>31.04</v>
      </c>
      <c r="N37">
        <v>3</v>
      </c>
      <c r="O37">
        <v>2</v>
      </c>
      <c r="P37">
        <v>186.24</v>
      </c>
      <c r="Q37">
        <v>8.51</v>
      </c>
      <c r="R37">
        <v>177.73</v>
      </c>
      <c r="AC37" s="1">
        <v>42613</v>
      </c>
    </row>
    <row r="38" spans="1:29" x14ac:dyDescent="0.25">
      <c r="A38" t="s">
        <v>294</v>
      </c>
      <c r="D38" t="s">
        <v>1299</v>
      </c>
      <c r="E38" t="s">
        <v>2019</v>
      </c>
      <c r="F38" t="s">
        <v>2082</v>
      </c>
      <c r="G38" t="s">
        <v>2084</v>
      </c>
      <c r="H38" t="s">
        <v>2095</v>
      </c>
      <c r="I38" t="s">
        <v>2106</v>
      </c>
      <c r="J38">
        <v>4342</v>
      </c>
      <c r="K38">
        <v>44.51</v>
      </c>
      <c r="L38">
        <v>2.5</v>
      </c>
      <c r="M38">
        <v>36.340000000000003</v>
      </c>
      <c r="N38">
        <v>2</v>
      </c>
      <c r="O38">
        <v>10</v>
      </c>
      <c r="P38">
        <v>726.80000000000007</v>
      </c>
      <c r="Q38">
        <v>4.29</v>
      </c>
      <c r="R38">
        <v>722.51</v>
      </c>
      <c r="AC38" s="1">
        <v>40728</v>
      </c>
    </row>
    <row r="39" spans="1:29" x14ac:dyDescent="0.25">
      <c r="A39" t="s">
        <v>330</v>
      </c>
      <c r="D39" t="s">
        <v>1333</v>
      </c>
      <c r="E39" t="s">
        <v>1986</v>
      </c>
      <c r="F39" t="s">
        <v>2073</v>
      </c>
      <c r="G39" t="s">
        <v>2084</v>
      </c>
      <c r="H39" t="s">
        <v>2096</v>
      </c>
      <c r="I39" t="s">
        <v>2102</v>
      </c>
      <c r="J39">
        <v>2323</v>
      </c>
      <c r="K39">
        <v>32.299999999999997</v>
      </c>
      <c r="L39">
        <v>4.9000000000000004</v>
      </c>
      <c r="M39">
        <v>7.43</v>
      </c>
      <c r="N39">
        <v>3</v>
      </c>
      <c r="O39">
        <v>9</v>
      </c>
      <c r="P39">
        <v>200.60999999999999</v>
      </c>
      <c r="Q39">
        <v>3.35</v>
      </c>
      <c r="R39">
        <v>197.26</v>
      </c>
      <c r="AC39" s="1">
        <v>41660</v>
      </c>
    </row>
    <row r="40" spans="1:29" x14ac:dyDescent="0.25">
      <c r="A40" t="s">
        <v>334</v>
      </c>
      <c r="D40" t="s">
        <v>1337</v>
      </c>
      <c r="E40" t="s">
        <v>2033</v>
      </c>
      <c r="F40" t="s">
        <v>2081</v>
      </c>
      <c r="G40" t="s">
        <v>2084</v>
      </c>
      <c r="H40" t="s">
        <v>2093</v>
      </c>
      <c r="I40" t="s">
        <v>2104</v>
      </c>
      <c r="J40">
        <v>852</v>
      </c>
      <c r="K40">
        <v>44.15</v>
      </c>
      <c r="L40">
        <v>3.5</v>
      </c>
      <c r="M40">
        <v>23.96</v>
      </c>
      <c r="N40">
        <v>1</v>
      </c>
      <c r="O40">
        <v>13</v>
      </c>
      <c r="P40">
        <v>311.48</v>
      </c>
      <c r="Q40">
        <v>0.35</v>
      </c>
      <c r="R40">
        <v>311.13</v>
      </c>
      <c r="AC40" s="1">
        <v>41811</v>
      </c>
    </row>
    <row r="41" spans="1:29" x14ac:dyDescent="0.25">
      <c r="A41" t="s">
        <v>340</v>
      </c>
      <c r="D41" t="s">
        <v>1343</v>
      </c>
      <c r="E41" t="s">
        <v>1996</v>
      </c>
      <c r="F41" t="s">
        <v>2081</v>
      </c>
      <c r="G41" t="s">
        <v>2084</v>
      </c>
      <c r="H41" t="s">
        <v>2095</v>
      </c>
      <c r="I41" t="s">
        <v>2100</v>
      </c>
      <c r="J41">
        <v>3424</v>
      </c>
      <c r="K41">
        <v>45.01</v>
      </c>
      <c r="L41">
        <v>3.7</v>
      </c>
      <c r="M41">
        <v>39.33</v>
      </c>
      <c r="N41">
        <v>4</v>
      </c>
      <c r="O41">
        <v>19</v>
      </c>
      <c r="P41">
        <v>2989.08</v>
      </c>
      <c r="Q41">
        <v>0.21</v>
      </c>
      <c r="R41">
        <v>2988.87</v>
      </c>
      <c r="AC41" s="1">
        <v>42764</v>
      </c>
    </row>
    <row r="42" spans="1:29" x14ac:dyDescent="0.25">
      <c r="A42" t="s">
        <v>401</v>
      </c>
      <c r="D42" t="s">
        <v>1401</v>
      </c>
      <c r="E42" t="s">
        <v>2016</v>
      </c>
      <c r="F42" t="s">
        <v>2075</v>
      </c>
      <c r="G42" t="s">
        <v>2084</v>
      </c>
      <c r="H42" t="s">
        <v>2096</v>
      </c>
      <c r="I42" t="s">
        <v>2111</v>
      </c>
      <c r="J42">
        <v>3787</v>
      </c>
      <c r="K42">
        <v>19.75</v>
      </c>
      <c r="L42">
        <v>3.6</v>
      </c>
      <c r="M42">
        <v>37.840000000000003</v>
      </c>
      <c r="N42">
        <v>4</v>
      </c>
      <c r="O42">
        <v>9</v>
      </c>
      <c r="P42">
        <v>1362.2400000000002</v>
      </c>
      <c r="Q42">
        <v>7.33</v>
      </c>
      <c r="R42">
        <v>1354.91</v>
      </c>
      <c r="AC42" s="1">
        <v>43118</v>
      </c>
    </row>
    <row r="43" spans="1:29" x14ac:dyDescent="0.25">
      <c r="A43" t="s">
        <v>436</v>
      </c>
      <c r="D43" t="s">
        <v>1434</v>
      </c>
      <c r="E43" t="s">
        <v>1993</v>
      </c>
      <c r="F43" t="s">
        <v>2078</v>
      </c>
      <c r="G43" t="s">
        <v>2084</v>
      </c>
      <c r="H43" t="s">
        <v>2094</v>
      </c>
      <c r="I43" t="s">
        <v>2104</v>
      </c>
      <c r="J43">
        <v>2437</v>
      </c>
      <c r="K43">
        <v>21.38</v>
      </c>
      <c r="L43">
        <v>3.1</v>
      </c>
      <c r="M43">
        <v>22.45</v>
      </c>
      <c r="N43">
        <v>3</v>
      </c>
      <c r="O43">
        <v>7</v>
      </c>
      <c r="P43">
        <v>471.44999999999993</v>
      </c>
      <c r="Q43">
        <v>2.17</v>
      </c>
      <c r="R43">
        <v>469.28</v>
      </c>
      <c r="AC43" s="1">
        <v>40694</v>
      </c>
    </row>
    <row r="44" spans="1:29" x14ac:dyDescent="0.25">
      <c r="A44" t="s">
        <v>771</v>
      </c>
      <c r="D44" t="s">
        <v>1747</v>
      </c>
      <c r="E44" t="s">
        <v>2055</v>
      </c>
      <c r="F44" t="s">
        <v>2077</v>
      </c>
      <c r="G44" t="s">
        <v>2084</v>
      </c>
      <c r="H44" t="s">
        <v>2092</v>
      </c>
      <c r="I44" t="s">
        <v>2103</v>
      </c>
      <c r="J44">
        <v>248</v>
      </c>
      <c r="K44">
        <v>15.45</v>
      </c>
      <c r="L44">
        <v>1.4</v>
      </c>
      <c r="M44">
        <v>30.64</v>
      </c>
      <c r="N44">
        <v>3</v>
      </c>
      <c r="O44">
        <v>11</v>
      </c>
      <c r="P44">
        <v>1011.12</v>
      </c>
      <c r="Q44">
        <v>0.97</v>
      </c>
      <c r="R44">
        <v>1010.15</v>
      </c>
      <c r="AC44" s="1">
        <v>42955</v>
      </c>
    </row>
    <row r="45" spans="1:29" x14ac:dyDescent="0.25">
      <c r="A45" t="s">
        <v>797</v>
      </c>
      <c r="D45" t="s">
        <v>1771</v>
      </c>
      <c r="E45" t="s">
        <v>1980</v>
      </c>
      <c r="F45" t="s">
        <v>2080</v>
      </c>
      <c r="G45" t="s">
        <v>2084</v>
      </c>
      <c r="H45" t="s">
        <v>2096</v>
      </c>
      <c r="I45" t="s">
        <v>2102</v>
      </c>
      <c r="J45">
        <v>362</v>
      </c>
      <c r="K45">
        <v>43.33</v>
      </c>
      <c r="L45">
        <v>2.4</v>
      </c>
      <c r="M45">
        <v>8.6999999999999993</v>
      </c>
      <c r="N45">
        <v>2</v>
      </c>
      <c r="O45">
        <v>16</v>
      </c>
      <c r="P45">
        <v>278.39999999999998</v>
      </c>
      <c r="Q45">
        <v>8.16</v>
      </c>
      <c r="R45">
        <v>270.24</v>
      </c>
      <c r="AC45" s="1">
        <v>41065</v>
      </c>
    </row>
    <row r="46" spans="1:29" x14ac:dyDescent="0.25">
      <c r="A46" t="s">
        <v>941</v>
      </c>
      <c r="D46" t="s">
        <v>1904</v>
      </c>
      <c r="E46" t="s">
        <v>2019</v>
      </c>
      <c r="F46" t="s">
        <v>2079</v>
      </c>
      <c r="G46" t="s">
        <v>2084</v>
      </c>
      <c r="H46" t="s">
        <v>2094</v>
      </c>
      <c r="I46" t="s">
        <v>2101</v>
      </c>
      <c r="J46">
        <v>894</v>
      </c>
      <c r="K46">
        <v>14.1</v>
      </c>
      <c r="L46">
        <v>1.7</v>
      </c>
      <c r="M46">
        <v>6.15</v>
      </c>
      <c r="N46">
        <v>4</v>
      </c>
      <c r="O46">
        <v>6</v>
      </c>
      <c r="P46">
        <v>147.60000000000002</v>
      </c>
      <c r="Q46">
        <v>9.44</v>
      </c>
      <c r="R46">
        <v>138.16</v>
      </c>
      <c r="AC46" s="1">
        <v>40650</v>
      </c>
    </row>
    <row r="47" spans="1:29" x14ac:dyDescent="0.25">
      <c r="A47" t="s">
        <v>956</v>
      </c>
      <c r="D47" t="s">
        <v>1917</v>
      </c>
      <c r="E47" t="s">
        <v>1984</v>
      </c>
      <c r="F47" t="s">
        <v>2076</v>
      </c>
      <c r="G47" t="s">
        <v>2084</v>
      </c>
      <c r="H47" t="s">
        <v>2095</v>
      </c>
      <c r="I47" t="s">
        <v>2097</v>
      </c>
      <c r="J47">
        <v>1909</v>
      </c>
      <c r="K47">
        <v>41.6</v>
      </c>
      <c r="L47">
        <v>3.7</v>
      </c>
      <c r="M47">
        <v>8.86</v>
      </c>
      <c r="N47">
        <v>1</v>
      </c>
      <c r="O47">
        <v>18</v>
      </c>
      <c r="P47">
        <v>159.47999999999999</v>
      </c>
      <c r="Q47">
        <v>7.33</v>
      </c>
      <c r="R47">
        <v>152.15</v>
      </c>
      <c r="AC47" s="1">
        <v>43008</v>
      </c>
    </row>
    <row r="48" spans="1:29" x14ac:dyDescent="0.25">
      <c r="A48" t="s">
        <v>961</v>
      </c>
      <c r="D48" t="s">
        <v>1922</v>
      </c>
      <c r="E48" t="s">
        <v>2023</v>
      </c>
      <c r="F48" t="s">
        <v>2076</v>
      </c>
      <c r="G48" t="s">
        <v>2084</v>
      </c>
      <c r="H48" t="s">
        <v>2096</v>
      </c>
      <c r="I48" t="s">
        <v>2104</v>
      </c>
      <c r="J48">
        <v>2989</v>
      </c>
      <c r="K48">
        <v>36.22</v>
      </c>
      <c r="L48">
        <v>2.8</v>
      </c>
      <c r="M48">
        <v>25.23</v>
      </c>
      <c r="N48">
        <v>5</v>
      </c>
      <c r="O48">
        <v>10</v>
      </c>
      <c r="P48">
        <v>1261.5</v>
      </c>
      <c r="Q48">
        <v>4.28</v>
      </c>
      <c r="R48">
        <v>1257.22</v>
      </c>
      <c r="AC48" s="1">
        <v>41693</v>
      </c>
    </row>
    <row r="49" spans="1:29" x14ac:dyDescent="0.25">
      <c r="A49" t="s">
        <v>34</v>
      </c>
      <c r="D49" t="s">
        <v>1044</v>
      </c>
      <c r="E49" t="s">
        <v>1982</v>
      </c>
      <c r="F49" t="s">
        <v>2076</v>
      </c>
      <c r="G49" t="s">
        <v>2090</v>
      </c>
      <c r="H49" t="s">
        <v>2093</v>
      </c>
      <c r="I49" t="s">
        <v>2107</v>
      </c>
      <c r="J49">
        <v>4225</v>
      </c>
      <c r="K49">
        <v>5.4</v>
      </c>
      <c r="L49">
        <v>3.3</v>
      </c>
      <c r="M49">
        <v>17.920000000000002</v>
      </c>
      <c r="N49">
        <v>5</v>
      </c>
      <c r="O49">
        <v>3</v>
      </c>
      <c r="P49">
        <v>268.8</v>
      </c>
      <c r="Q49">
        <v>9.9</v>
      </c>
      <c r="R49">
        <v>258.89999999999998</v>
      </c>
      <c r="AC49" s="1">
        <v>42507</v>
      </c>
    </row>
    <row r="50" spans="1:29" x14ac:dyDescent="0.25">
      <c r="A50" t="s">
        <v>115</v>
      </c>
      <c r="D50" t="s">
        <v>1125</v>
      </c>
      <c r="E50" t="s">
        <v>2029</v>
      </c>
      <c r="F50" t="s">
        <v>2080</v>
      </c>
      <c r="G50" t="s">
        <v>2090</v>
      </c>
      <c r="H50" t="s">
        <v>2092</v>
      </c>
      <c r="I50" t="s">
        <v>2109</v>
      </c>
      <c r="J50">
        <v>3412</v>
      </c>
      <c r="K50">
        <v>43.34</v>
      </c>
      <c r="L50">
        <v>1.4</v>
      </c>
      <c r="M50">
        <v>35.229999999999997</v>
      </c>
      <c r="N50">
        <v>2</v>
      </c>
      <c r="O50">
        <v>10</v>
      </c>
      <c r="P50">
        <v>704.59999999999991</v>
      </c>
      <c r="Q50">
        <v>6.96</v>
      </c>
      <c r="R50">
        <v>697.64</v>
      </c>
      <c r="AC50" s="1">
        <v>42518</v>
      </c>
    </row>
    <row r="51" spans="1:29" x14ac:dyDescent="0.25">
      <c r="A51" t="s">
        <v>148</v>
      </c>
      <c r="D51" t="s">
        <v>1157</v>
      </c>
      <c r="E51" t="s">
        <v>2021</v>
      </c>
      <c r="F51" t="s">
        <v>2077</v>
      </c>
      <c r="G51" t="s">
        <v>2090</v>
      </c>
      <c r="H51" t="s">
        <v>2093</v>
      </c>
      <c r="I51" t="s">
        <v>2098</v>
      </c>
      <c r="J51">
        <v>4413</v>
      </c>
      <c r="K51">
        <v>34.79</v>
      </c>
      <c r="L51">
        <v>2.6</v>
      </c>
      <c r="M51">
        <v>15.11</v>
      </c>
      <c r="N51">
        <v>2</v>
      </c>
      <c r="O51">
        <v>1</v>
      </c>
      <c r="P51">
        <v>30.22</v>
      </c>
      <c r="Q51">
        <v>4.1500000000000004</v>
      </c>
      <c r="R51">
        <v>26.07</v>
      </c>
      <c r="AC51" s="1">
        <v>40863</v>
      </c>
    </row>
    <row r="52" spans="1:29" x14ac:dyDescent="0.25">
      <c r="A52" t="s">
        <v>190</v>
      </c>
      <c r="D52" t="s">
        <v>1199</v>
      </c>
      <c r="E52" t="s">
        <v>2028</v>
      </c>
      <c r="F52" t="s">
        <v>2082</v>
      </c>
      <c r="G52" t="s">
        <v>2090</v>
      </c>
      <c r="H52" t="s">
        <v>2093</v>
      </c>
      <c r="I52" t="s">
        <v>2109</v>
      </c>
      <c r="J52">
        <v>2821</v>
      </c>
      <c r="K52">
        <v>23.54</v>
      </c>
      <c r="L52">
        <v>4.7</v>
      </c>
      <c r="M52">
        <v>17.8</v>
      </c>
      <c r="N52">
        <v>5</v>
      </c>
      <c r="O52">
        <v>11</v>
      </c>
      <c r="P52">
        <v>979</v>
      </c>
      <c r="Q52">
        <v>7.04</v>
      </c>
      <c r="R52">
        <v>971.96</v>
      </c>
      <c r="AC52" s="1">
        <v>41132</v>
      </c>
    </row>
    <row r="53" spans="1:29" x14ac:dyDescent="0.25">
      <c r="A53" t="s">
        <v>210</v>
      </c>
      <c r="D53" t="s">
        <v>1219</v>
      </c>
      <c r="E53" t="s">
        <v>2020</v>
      </c>
      <c r="F53" t="s">
        <v>2074</v>
      </c>
      <c r="G53" t="s">
        <v>2090</v>
      </c>
      <c r="H53" t="s">
        <v>2093</v>
      </c>
      <c r="I53" t="s">
        <v>2102</v>
      </c>
      <c r="J53">
        <v>4158</v>
      </c>
      <c r="K53">
        <v>45.54</v>
      </c>
      <c r="L53">
        <v>1.7</v>
      </c>
      <c r="M53">
        <v>7.98</v>
      </c>
      <c r="N53">
        <v>5</v>
      </c>
      <c r="O53">
        <v>8</v>
      </c>
      <c r="P53">
        <v>319.20000000000005</v>
      </c>
      <c r="Q53">
        <v>1.31</v>
      </c>
      <c r="R53">
        <v>317.89</v>
      </c>
      <c r="AC53" s="1">
        <v>43176</v>
      </c>
    </row>
    <row r="54" spans="1:29" x14ac:dyDescent="0.25">
      <c r="A54" t="s">
        <v>246</v>
      </c>
      <c r="D54" t="s">
        <v>1253</v>
      </c>
      <c r="E54" t="s">
        <v>2062</v>
      </c>
      <c r="F54" t="s">
        <v>2079</v>
      </c>
      <c r="G54" t="s">
        <v>2090</v>
      </c>
      <c r="H54" t="s">
        <v>2096</v>
      </c>
      <c r="I54" t="s">
        <v>2110</v>
      </c>
      <c r="J54">
        <v>2757</v>
      </c>
      <c r="K54">
        <v>34.22</v>
      </c>
      <c r="L54">
        <v>2.2000000000000002</v>
      </c>
      <c r="M54">
        <v>26.88</v>
      </c>
      <c r="N54">
        <v>1</v>
      </c>
      <c r="O54">
        <v>2</v>
      </c>
      <c r="P54">
        <v>53.76</v>
      </c>
      <c r="Q54">
        <v>4.4000000000000004</v>
      </c>
      <c r="R54">
        <v>49.36</v>
      </c>
      <c r="AC54" s="1">
        <v>41877</v>
      </c>
    </row>
    <row r="55" spans="1:29" x14ac:dyDescent="0.25">
      <c r="A55" t="s">
        <v>310</v>
      </c>
      <c r="D55" t="s">
        <v>1314</v>
      </c>
      <c r="E55" t="s">
        <v>1975</v>
      </c>
      <c r="F55" t="s">
        <v>2075</v>
      </c>
      <c r="G55" t="s">
        <v>2090</v>
      </c>
      <c r="H55" t="s">
        <v>2093</v>
      </c>
      <c r="I55" t="s">
        <v>2106</v>
      </c>
      <c r="J55">
        <v>2135</v>
      </c>
      <c r="K55">
        <v>20.87</v>
      </c>
      <c r="L55">
        <v>2.5</v>
      </c>
      <c r="M55">
        <v>23.61</v>
      </c>
      <c r="N55">
        <v>1</v>
      </c>
      <c r="O55">
        <v>8</v>
      </c>
      <c r="P55">
        <v>188.88</v>
      </c>
      <c r="Q55">
        <v>5.48</v>
      </c>
      <c r="R55">
        <v>183.4</v>
      </c>
      <c r="AC55" s="1">
        <v>40180</v>
      </c>
    </row>
    <row r="56" spans="1:29" x14ac:dyDescent="0.25">
      <c r="A56" t="s">
        <v>608</v>
      </c>
      <c r="D56" t="s">
        <v>1487</v>
      </c>
      <c r="E56" t="s">
        <v>2036</v>
      </c>
      <c r="F56" t="s">
        <v>2080</v>
      </c>
      <c r="G56" t="s">
        <v>2090</v>
      </c>
      <c r="H56" t="s">
        <v>2093</v>
      </c>
      <c r="I56" t="s">
        <v>2110</v>
      </c>
      <c r="J56">
        <v>1315</v>
      </c>
      <c r="K56">
        <v>16.07</v>
      </c>
      <c r="L56">
        <v>3.1</v>
      </c>
      <c r="M56">
        <v>17.29</v>
      </c>
      <c r="N56">
        <v>4</v>
      </c>
      <c r="O56">
        <v>19</v>
      </c>
      <c r="P56">
        <v>1314.04</v>
      </c>
      <c r="Q56">
        <v>0.51</v>
      </c>
      <c r="R56">
        <v>1313.53</v>
      </c>
      <c r="AC56" s="1">
        <v>41104</v>
      </c>
    </row>
    <row r="57" spans="1:29" x14ac:dyDescent="0.25">
      <c r="A57" t="s">
        <v>745</v>
      </c>
      <c r="D57" t="s">
        <v>1723</v>
      </c>
      <c r="E57" t="s">
        <v>1983</v>
      </c>
      <c r="F57" t="s">
        <v>2079</v>
      </c>
      <c r="G57" t="s">
        <v>2090</v>
      </c>
      <c r="H57" t="s">
        <v>2096</v>
      </c>
      <c r="I57" t="s">
        <v>2111</v>
      </c>
      <c r="J57">
        <v>1628</v>
      </c>
      <c r="K57">
        <v>48.46</v>
      </c>
      <c r="L57">
        <v>4.4000000000000004</v>
      </c>
      <c r="M57">
        <v>20.74</v>
      </c>
      <c r="N57">
        <v>3</v>
      </c>
      <c r="O57">
        <v>10</v>
      </c>
      <c r="P57">
        <v>622.20000000000005</v>
      </c>
      <c r="Q57">
        <v>6.16</v>
      </c>
      <c r="R57">
        <v>616.04</v>
      </c>
      <c r="AC57" s="1">
        <v>41140</v>
      </c>
    </row>
    <row r="58" spans="1:29" ht="15.75" x14ac:dyDescent="0.25">
      <c r="A58" t="s">
        <v>746</v>
      </c>
      <c r="D58" t="s">
        <v>1724</v>
      </c>
      <c r="E58" t="s">
        <v>2023</v>
      </c>
      <c r="F58" t="s">
        <v>2079</v>
      </c>
      <c r="G58" t="s">
        <v>2090</v>
      </c>
      <c r="H58" t="s">
        <v>2092</v>
      </c>
      <c r="I58" t="s">
        <v>2108</v>
      </c>
      <c r="J58">
        <v>1092</v>
      </c>
      <c r="K58">
        <v>7.4</v>
      </c>
      <c r="L58">
        <v>2.4</v>
      </c>
      <c r="M58">
        <v>19.27</v>
      </c>
      <c r="N58">
        <v>5</v>
      </c>
      <c r="O58">
        <v>19</v>
      </c>
      <c r="P58">
        <v>1830.6499999999999</v>
      </c>
      <c r="Q58">
        <v>2.56</v>
      </c>
      <c r="R58">
        <v>1828.09</v>
      </c>
      <c r="U58" s="19" t="s">
        <v>2141</v>
      </c>
      <c r="AC58" s="1">
        <v>41938</v>
      </c>
    </row>
    <row r="59" spans="1:29" x14ac:dyDescent="0.25">
      <c r="A59" t="s">
        <v>822</v>
      </c>
      <c r="D59" t="s">
        <v>1793</v>
      </c>
      <c r="E59" t="s">
        <v>2057</v>
      </c>
      <c r="F59" t="s">
        <v>2082</v>
      </c>
      <c r="G59" t="s">
        <v>2090</v>
      </c>
      <c r="H59" t="s">
        <v>2093</v>
      </c>
      <c r="I59" t="s">
        <v>2109</v>
      </c>
      <c r="J59">
        <v>1267</v>
      </c>
      <c r="K59">
        <v>41.09</v>
      </c>
      <c r="L59">
        <v>3.3</v>
      </c>
      <c r="M59">
        <v>23.08</v>
      </c>
      <c r="N59">
        <v>2</v>
      </c>
      <c r="O59">
        <v>14</v>
      </c>
      <c r="P59">
        <v>646.24</v>
      </c>
      <c r="Q59">
        <v>8.23</v>
      </c>
      <c r="R59">
        <v>638.01</v>
      </c>
      <c r="AC59" s="1">
        <v>41726</v>
      </c>
    </row>
    <row r="60" spans="1:29" x14ac:dyDescent="0.25">
      <c r="A60" t="s">
        <v>856</v>
      </c>
      <c r="D60" t="s">
        <v>1824</v>
      </c>
      <c r="E60" t="s">
        <v>1973</v>
      </c>
      <c r="F60" t="s">
        <v>2075</v>
      </c>
      <c r="G60" t="s">
        <v>2090</v>
      </c>
      <c r="H60" t="s">
        <v>2094</v>
      </c>
      <c r="I60" t="s">
        <v>2105</v>
      </c>
      <c r="J60">
        <v>4180</v>
      </c>
      <c r="K60">
        <v>28.39</v>
      </c>
      <c r="L60">
        <v>1.8</v>
      </c>
      <c r="M60">
        <v>13.94</v>
      </c>
      <c r="N60">
        <v>2</v>
      </c>
      <c r="O60">
        <v>3</v>
      </c>
      <c r="P60">
        <v>83.64</v>
      </c>
      <c r="Q60">
        <v>5.17</v>
      </c>
      <c r="R60">
        <v>78.47</v>
      </c>
      <c r="AC60" s="1">
        <v>42679</v>
      </c>
    </row>
    <row r="61" spans="1:29" x14ac:dyDescent="0.25">
      <c r="A61" t="s">
        <v>958</v>
      </c>
      <c r="D61" t="s">
        <v>1919</v>
      </c>
      <c r="E61" t="s">
        <v>2050</v>
      </c>
      <c r="F61" t="s">
        <v>2078</v>
      </c>
      <c r="G61" t="s">
        <v>2090</v>
      </c>
      <c r="H61" t="s">
        <v>2094</v>
      </c>
      <c r="I61" t="s">
        <v>2108</v>
      </c>
      <c r="J61">
        <v>2629</v>
      </c>
      <c r="K61">
        <v>34.770000000000003</v>
      </c>
      <c r="L61">
        <v>3.3</v>
      </c>
      <c r="M61">
        <v>16.36</v>
      </c>
      <c r="N61">
        <v>3</v>
      </c>
      <c r="O61">
        <v>3</v>
      </c>
      <c r="P61">
        <v>147.24</v>
      </c>
      <c r="Q61">
        <v>5.28</v>
      </c>
      <c r="R61">
        <v>141.96</v>
      </c>
      <c r="AC61" s="1">
        <v>41296</v>
      </c>
    </row>
    <row r="62" spans="1:29" x14ac:dyDescent="0.25">
      <c r="A62" t="s">
        <v>992</v>
      </c>
      <c r="D62" t="s">
        <v>1950</v>
      </c>
      <c r="E62" t="s">
        <v>2013</v>
      </c>
      <c r="F62" t="s">
        <v>2077</v>
      </c>
      <c r="G62" t="s">
        <v>2090</v>
      </c>
      <c r="H62" t="s">
        <v>2092</v>
      </c>
      <c r="I62" t="s">
        <v>2101</v>
      </c>
      <c r="J62">
        <v>2816</v>
      </c>
      <c r="K62">
        <v>20.89</v>
      </c>
      <c r="L62">
        <v>4.2</v>
      </c>
      <c r="M62">
        <v>13.27</v>
      </c>
      <c r="N62">
        <v>5</v>
      </c>
      <c r="O62">
        <v>19</v>
      </c>
      <c r="P62">
        <v>1260.6499999999999</v>
      </c>
      <c r="Q62">
        <v>9.49</v>
      </c>
      <c r="R62">
        <v>1251.1600000000001</v>
      </c>
      <c r="AC62" s="1">
        <v>40867</v>
      </c>
    </row>
    <row r="63" spans="1:29" x14ac:dyDescent="0.25">
      <c r="A63" t="s">
        <v>35</v>
      </c>
      <c r="D63" t="s">
        <v>1045</v>
      </c>
      <c r="E63" t="s">
        <v>1989</v>
      </c>
      <c r="F63" t="s">
        <v>2073</v>
      </c>
      <c r="G63" t="s">
        <v>2083</v>
      </c>
      <c r="H63" t="s">
        <v>2095</v>
      </c>
      <c r="I63" t="s">
        <v>2100</v>
      </c>
      <c r="J63">
        <v>553</v>
      </c>
      <c r="K63">
        <v>29.4</v>
      </c>
      <c r="L63">
        <v>2</v>
      </c>
      <c r="M63">
        <v>17.61</v>
      </c>
      <c r="N63">
        <v>4</v>
      </c>
      <c r="O63">
        <v>4</v>
      </c>
      <c r="P63">
        <v>281.76</v>
      </c>
      <c r="Q63">
        <v>9.67</v>
      </c>
      <c r="R63">
        <v>272.08999999999997</v>
      </c>
      <c r="AC63" s="1">
        <v>43452</v>
      </c>
    </row>
    <row r="64" spans="1:29" x14ac:dyDescent="0.25">
      <c r="A64" t="s">
        <v>109</v>
      </c>
      <c r="D64" t="s">
        <v>1119</v>
      </c>
      <c r="E64" t="s">
        <v>2027</v>
      </c>
      <c r="F64" t="s">
        <v>2077</v>
      </c>
      <c r="G64" t="s">
        <v>2083</v>
      </c>
      <c r="H64" t="s">
        <v>2095</v>
      </c>
      <c r="I64" t="s">
        <v>2098</v>
      </c>
      <c r="J64">
        <v>4406</v>
      </c>
      <c r="K64">
        <v>28.28</v>
      </c>
      <c r="L64">
        <v>2</v>
      </c>
      <c r="M64">
        <v>24.48</v>
      </c>
      <c r="N64">
        <v>4</v>
      </c>
      <c r="O64">
        <v>20</v>
      </c>
      <c r="P64">
        <v>1958.4</v>
      </c>
      <c r="Q64">
        <v>2.0699999999999998</v>
      </c>
      <c r="R64">
        <v>1956.33</v>
      </c>
      <c r="AC64" s="1">
        <v>42369</v>
      </c>
    </row>
    <row r="65" spans="1:29" x14ac:dyDescent="0.25">
      <c r="A65" t="s">
        <v>237</v>
      </c>
      <c r="D65" t="s">
        <v>1244</v>
      </c>
      <c r="E65" t="s">
        <v>2004</v>
      </c>
      <c r="F65" t="s">
        <v>2076</v>
      </c>
      <c r="G65" t="s">
        <v>2083</v>
      </c>
      <c r="H65" t="s">
        <v>2096</v>
      </c>
      <c r="I65" t="s">
        <v>2107</v>
      </c>
      <c r="J65">
        <v>3314</v>
      </c>
      <c r="K65">
        <v>15.14</v>
      </c>
      <c r="L65">
        <v>2.8</v>
      </c>
      <c r="M65">
        <v>31.02</v>
      </c>
      <c r="N65">
        <v>5</v>
      </c>
      <c r="O65">
        <v>17</v>
      </c>
      <c r="P65">
        <v>2636.7</v>
      </c>
      <c r="Q65">
        <v>7.9</v>
      </c>
      <c r="R65">
        <v>2628.8</v>
      </c>
      <c r="AC65" s="1">
        <v>41440</v>
      </c>
    </row>
    <row r="66" spans="1:29" x14ac:dyDescent="0.25">
      <c r="A66" t="s">
        <v>245</v>
      </c>
      <c r="D66" t="s">
        <v>1252</v>
      </c>
      <c r="E66" t="s">
        <v>2017</v>
      </c>
      <c r="F66" t="s">
        <v>2075</v>
      </c>
      <c r="G66" t="s">
        <v>2083</v>
      </c>
      <c r="H66" t="s">
        <v>2094</v>
      </c>
      <c r="I66" t="s">
        <v>2104</v>
      </c>
      <c r="J66">
        <v>1406</v>
      </c>
      <c r="K66">
        <v>25.9</v>
      </c>
      <c r="L66">
        <v>4.2</v>
      </c>
      <c r="M66">
        <v>5.82</v>
      </c>
      <c r="N66">
        <v>4</v>
      </c>
      <c r="O66">
        <v>19</v>
      </c>
      <c r="P66">
        <v>442.32000000000005</v>
      </c>
      <c r="Q66">
        <v>8.57</v>
      </c>
      <c r="R66">
        <v>433.75</v>
      </c>
      <c r="AC66" s="1">
        <v>41650</v>
      </c>
    </row>
    <row r="67" spans="1:29" x14ac:dyDescent="0.25">
      <c r="A67" t="s">
        <v>318</v>
      </c>
      <c r="D67" t="s">
        <v>1321</v>
      </c>
      <c r="E67" t="s">
        <v>2055</v>
      </c>
      <c r="F67" t="s">
        <v>2073</v>
      </c>
      <c r="G67" t="s">
        <v>2083</v>
      </c>
      <c r="H67" t="s">
        <v>2093</v>
      </c>
      <c r="I67" t="s">
        <v>2098</v>
      </c>
      <c r="J67">
        <v>4048</v>
      </c>
      <c r="K67">
        <v>31.62</v>
      </c>
      <c r="L67">
        <v>4.2</v>
      </c>
      <c r="M67">
        <v>14.96</v>
      </c>
      <c r="N67">
        <v>4</v>
      </c>
      <c r="O67">
        <v>14</v>
      </c>
      <c r="P67">
        <v>837.76</v>
      </c>
      <c r="Q67">
        <v>2.36</v>
      </c>
      <c r="R67">
        <v>835.4</v>
      </c>
      <c r="AC67" s="1">
        <v>40388</v>
      </c>
    </row>
    <row r="68" spans="1:29" x14ac:dyDescent="0.25">
      <c r="A68" t="s">
        <v>417</v>
      </c>
      <c r="D68" t="s">
        <v>1416</v>
      </c>
      <c r="E68" t="s">
        <v>2061</v>
      </c>
      <c r="F68" t="s">
        <v>2077</v>
      </c>
      <c r="G68" t="s">
        <v>2083</v>
      </c>
      <c r="H68" t="s">
        <v>2092</v>
      </c>
      <c r="I68" t="s">
        <v>2109</v>
      </c>
      <c r="J68">
        <v>728</v>
      </c>
      <c r="K68">
        <v>17.34</v>
      </c>
      <c r="L68">
        <v>2.9</v>
      </c>
      <c r="M68">
        <v>11.28</v>
      </c>
      <c r="N68">
        <v>5</v>
      </c>
      <c r="O68">
        <v>18</v>
      </c>
      <c r="P68">
        <v>1015.1999999999999</v>
      </c>
      <c r="Q68">
        <v>1.22</v>
      </c>
      <c r="R68">
        <v>1013.98</v>
      </c>
      <c r="AC68" s="1">
        <v>40226</v>
      </c>
    </row>
    <row r="69" spans="1:29" x14ac:dyDescent="0.25">
      <c r="A69" t="s">
        <v>461</v>
      </c>
      <c r="D69" t="s">
        <v>1459</v>
      </c>
      <c r="E69" t="s">
        <v>2049</v>
      </c>
      <c r="F69" t="s">
        <v>2077</v>
      </c>
      <c r="G69" t="s">
        <v>2083</v>
      </c>
      <c r="H69" t="s">
        <v>2092</v>
      </c>
      <c r="I69" t="s">
        <v>2107</v>
      </c>
      <c r="J69">
        <v>1501</v>
      </c>
      <c r="K69">
        <v>12.58</v>
      </c>
      <c r="L69">
        <v>4.4000000000000004</v>
      </c>
      <c r="M69">
        <v>31.44</v>
      </c>
      <c r="N69">
        <v>2</v>
      </c>
      <c r="O69">
        <v>10</v>
      </c>
      <c r="P69">
        <v>628.80000000000007</v>
      </c>
      <c r="Q69">
        <v>4.38</v>
      </c>
      <c r="R69">
        <v>624.41999999999996</v>
      </c>
      <c r="AC69" s="1">
        <v>40416</v>
      </c>
    </row>
    <row r="70" spans="1:29" x14ac:dyDescent="0.25">
      <c r="A70" t="s">
        <v>515</v>
      </c>
      <c r="D70" t="s">
        <v>1510</v>
      </c>
      <c r="E70" t="s">
        <v>2030</v>
      </c>
      <c r="F70" t="s">
        <v>2075</v>
      </c>
      <c r="G70" t="s">
        <v>2083</v>
      </c>
      <c r="H70" t="s">
        <v>2095</v>
      </c>
      <c r="I70" t="s">
        <v>2101</v>
      </c>
      <c r="J70">
        <v>3009</v>
      </c>
      <c r="K70">
        <v>17.510000000000002</v>
      </c>
      <c r="L70">
        <v>2.9</v>
      </c>
      <c r="M70">
        <v>29.92</v>
      </c>
      <c r="N70">
        <v>5</v>
      </c>
      <c r="O70">
        <v>18</v>
      </c>
      <c r="P70">
        <v>2692.8</v>
      </c>
      <c r="Q70">
        <v>3.44</v>
      </c>
      <c r="R70">
        <v>2689.36</v>
      </c>
      <c r="AC70" s="1">
        <v>40267</v>
      </c>
    </row>
    <row r="71" spans="1:29" x14ac:dyDescent="0.25">
      <c r="A71" t="s">
        <v>558</v>
      </c>
      <c r="D71" t="s">
        <v>1551</v>
      </c>
      <c r="E71" t="s">
        <v>1994</v>
      </c>
      <c r="F71" t="s">
        <v>2082</v>
      </c>
      <c r="G71" t="s">
        <v>2083</v>
      </c>
      <c r="H71" t="s">
        <v>2093</v>
      </c>
      <c r="I71" t="s">
        <v>2111</v>
      </c>
      <c r="J71">
        <v>3896</v>
      </c>
      <c r="K71">
        <v>37.61</v>
      </c>
      <c r="L71">
        <v>4.5</v>
      </c>
      <c r="M71">
        <v>17.73</v>
      </c>
      <c r="N71">
        <v>1</v>
      </c>
      <c r="O71">
        <v>6</v>
      </c>
      <c r="P71">
        <v>106.38</v>
      </c>
      <c r="Q71">
        <v>8.34</v>
      </c>
      <c r="R71">
        <v>98.04</v>
      </c>
      <c r="AC71" s="1">
        <v>42944</v>
      </c>
    </row>
    <row r="72" spans="1:29" x14ac:dyDescent="0.25">
      <c r="A72" t="s">
        <v>663</v>
      </c>
      <c r="D72" t="s">
        <v>1647</v>
      </c>
      <c r="E72" t="s">
        <v>2036</v>
      </c>
      <c r="F72" t="s">
        <v>2078</v>
      </c>
      <c r="G72" t="s">
        <v>2083</v>
      </c>
      <c r="H72" t="s">
        <v>2096</v>
      </c>
      <c r="I72" t="s">
        <v>2097</v>
      </c>
      <c r="J72">
        <v>2581</v>
      </c>
      <c r="K72">
        <v>30.14</v>
      </c>
      <c r="L72">
        <v>4.8</v>
      </c>
      <c r="M72">
        <v>7.46</v>
      </c>
      <c r="N72">
        <v>1</v>
      </c>
      <c r="O72">
        <v>15</v>
      </c>
      <c r="P72">
        <v>111.9</v>
      </c>
      <c r="Q72">
        <v>0.84</v>
      </c>
      <c r="R72">
        <v>111.06</v>
      </c>
      <c r="AC72" s="1">
        <v>42629</v>
      </c>
    </row>
    <row r="73" spans="1:29" x14ac:dyDescent="0.25">
      <c r="A73" t="s">
        <v>890</v>
      </c>
      <c r="D73" t="s">
        <v>1275</v>
      </c>
      <c r="E73" t="s">
        <v>2050</v>
      </c>
      <c r="F73" t="s">
        <v>2078</v>
      </c>
      <c r="G73" t="s">
        <v>2083</v>
      </c>
      <c r="H73" t="s">
        <v>2095</v>
      </c>
      <c r="I73" t="s">
        <v>2103</v>
      </c>
      <c r="J73">
        <v>1231</v>
      </c>
      <c r="K73">
        <v>40</v>
      </c>
      <c r="L73">
        <v>1.9</v>
      </c>
      <c r="M73">
        <v>38.01</v>
      </c>
      <c r="N73">
        <v>1</v>
      </c>
      <c r="O73">
        <v>12</v>
      </c>
      <c r="P73">
        <v>456.12</v>
      </c>
      <c r="Q73">
        <v>5.94</v>
      </c>
      <c r="R73">
        <v>450.18</v>
      </c>
      <c r="AC73" s="1">
        <v>41379</v>
      </c>
    </row>
    <row r="74" spans="1:29" x14ac:dyDescent="0.25">
      <c r="A74" t="s">
        <v>950</v>
      </c>
      <c r="D74" t="s">
        <v>1195</v>
      </c>
      <c r="E74" t="s">
        <v>2032</v>
      </c>
      <c r="F74" t="s">
        <v>2073</v>
      </c>
      <c r="G74" t="s">
        <v>2083</v>
      </c>
      <c r="H74" t="s">
        <v>2096</v>
      </c>
      <c r="I74" t="s">
        <v>2109</v>
      </c>
      <c r="J74">
        <v>1293</v>
      </c>
      <c r="K74">
        <v>48.15</v>
      </c>
      <c r="L74">
        <v>4.5</v>
      </c>
      <c r="M74">
        <v>32.79</v>
      </c>
      <c r="N74">
        <v>5</v>
      </c>
      <c r="O74">
        <v>2</v>
      </c>
      <c r="P74">
        <v>327.9</v>
      </c>
      <c r="Q74">
        <v>2.5299999999999998</v>
      </c>
      <c r="R74">
        <v>325.37</v>
      </c>
      <c r="AC74" s="1">
        <v>42702</v>
      </c>
    </row>
    <row r="75" spans="1:29" x14ac:dyDescent="0.25">
      <c r="A75" t="s">
        <v>994</v>
      </c>
      <c r="D75" t="s">
        <v>1952</v>
      </c>
      <c r="E75" t="s">
        <v>1973</v>
      </c>
      <c r="F75" t="s">
        <v>2074</v>
      </c>
      <c r="G75" t="s">
        <v>2083</v>
      </c>
      <c r="H75" t="s">
        <v>2093</v>
      </c>
      <c r="I75" t="s">
        <v>2108</v>
      </c>
      <c r="J75">
        <v>3801</v>
      </c>
      <c r="K75">
        <v>26.26</v>
      </c>
      <c r="L75">
        <v>3.3</v>
      </c>
      <c r="M75">
        <v>24.72</v>
      </c>
      <c r="N75">
        <v>2</v>
      </c>
      <c r="O75">
        <v>5</v>
      </c>
      <c r="P75">
        <v>247.2</v>
      </c>
      <c r="Q75">
        <v>8.77</v>
      </c>
      <c r="R75">
        <v>238.43</v>
      </c>
      <c r="AC75" s="1">
        <v>43025</v>
      </c>
    </row>
    <row r="76" spans="1:29" x14ac:dyDescent="0.25">
      <c r="A76" t="s">
        <v>63</v>
      </c>
      <c r="D76" t="s">
        <v>1073</v>
      </c>
      <c r="E76" t="s">
        <v>2009</v>
      </c>
      <c r="F76" t="s">
        <v>2075</v>
      </c>
      <c r="G76" t="s">
        <v>2087</v>
      </c>
      <c r="H76" t="s">
        <v>2094</v>
      </c>
      <c r="I76" t="s">
        <v>2099</v>
      </c>
      <c r="J76">
        <v>4496</v>
      </c>
      <c r="K76">
        <v>12.1</v>
      </c>
      <c r="L76">
        <v>4.3</v>
      </c>
      <c r="M76">
        <v>11.63</v>
      </c>
      <c r="N76">
        <v>5</v>
      </c>
      <c r="O76">
        <v>7</v>
      </c>
      <c r="P76">
        <v>407.05000000000007</v>
      </c>
      <c r="Q76">
        <v>1.97</v>
      </c>
      <c r="R76">
        <v>405.08</v>
      </c>
      <c r="AC76" s="1">
        <v>42081</v>
      </c>
    </row>
    <row r="77" spans="1:29" x14ac:dyDescent="0.25">
      <c r="A77" t="s">
        <v>95</v>
      </c>
      <c r="D77" t="s">
        <v>1105</v>
      </c>
      <c r="E77" t="s">
        <v>2022</v>
      </c>
      <c r="F77" t="s">
        <v>2078</v>
      </c>
      <c r="G77" t="s">
        <v>2087</v>
      </c>
      <c r="H77" t="s">
        <v>2093</v>
      </c>
      <c r="I77" t="s">
        <v>2107</v>
      </c>
      <c r="J77">
        <v>3454</v>
      </c>
      <c r="K77">
        <v>46.53</v>
      </c>
      <c r="L77">
        <v>4.0999999999999996</v>
      </c>
      <c r="M77">
        <v>27.24</v>
      </c>
      <c r="N77">
        <v>4</v>
      </c>
      <c r="O77">
        <v>18</v>
      </c>
      <c r="P77">
        <v>1961.28</v>
      </c>
      <c r="Q77">
        <v>9.99</v>
      </c>
      <c r="R77">
        <v>1951.29</v>
      </c>
      <c r="AC77" s="1">
        <v>43263</v>
      </c>
    </row>
    <row r="78" spans="1:29" x14ac:dyDescent="0.25">
      <c r="A78" t="s">
        <v>155</v>
      </c>
      <c r="D78" t="s">
        <v>1164</v>
      </c>
      <c r="E78" t="s">
        <v>2045</v>
      </c>
      <c r="F78" t="s">
        <v>2082</v>
      </c>
      <c r="G78" t="s">
        <v>2087</v>
      </c>
      <c r="H78" t="s">
        <v>2095</v>
      </c>
      <c r="I78" t="s">
        <v>2099</v>
      </c>
      <c r="J78">
        <v>3247</v>
      </c>
      <c r="K78">
        <v>26.96</v>
      </c>
      <c r="L78">
        <v>1.6</v>
      </c>
      <c r="M78">
        <v>21.41</v>
      </c>
      <c r="N78">
        <v>1</v>
      </c>
      <c r="O78">
        <v>4</v>
      </c>
      <c r="P78">
        <v>85.64</v>
      </c>
      <c r="Q78">
        <v>7.08</v>
      </c>
      <c r="R78">
        <v>78.56</v>
      </c>
      <c r="AC78" s="1">
        <v>42346</v>
      </c>
    </row>
    <row r="79" spans="1:29" x14ac:dyDescent="0.25">
      <c r="A79" t="s">
        <v>171</v>
      </c>
      <c r="D79" t="s">
        <v>1180</v>
      </c>
      <c r="E79" t="s">
        <v>2007</v>
      </c>
      <c r="F79" t="s">
        <v>2075</v>
      </c>
      <c r="G79" t="s">
        <v>2087</v>
      </c>
      <c r="H79" t="s">
        <v>2095</v>
      </c>
      <c r="I79" t="s">
        <v>2100</v>
      </c>
      <c r="J79">
        <v>4736</v>
      </c>
      <c r="K79">
        <v>31.79</v>
      </c>
      <c r="L79">
        <v>1.3</v>
      </c>
      <c r="M79">
        <v>11.99</v>
      </c>
      <c r="N79">
        <v>1</v>
      </c>
      <c r="O79">
        <v>7</v>
      </c>
      <c r="P79">
        <v>83.93</v>
      </c>
      <c r="Q79">
        <v>1.98</v>
      </c>
      <c r="R79">
        <v>81.95</v>
      </c>
      <c r="AC79" s="1">
        <v>42989</v>
      </c>
    </row>
    <row r="80" spans="1:29" x14ac:dyDescent="0.25">
      <c r="A80" t="s">
        <v>227</v>
      </c>
      <c r="D80" t="s">
        <v>1236</v>
      </c>
      <c r="E80" t="s">
        <v>2059</v>
      </c>
      <c r="F80" t="s">
        <v>2075</v>
      </c>
      <c r="G80" t="s">
        <v>2087</v>
      </c>
      <c r="H80" t="s">
        <v>2096</v>
      </c>
      <c r="I80" t="s">
        <v>2097</v>
      </c>
      <c r="J80">
        <v>911</v>
      </c>
      <c r="K80">
        <v>8.66</v>
      </c>
      <c r="L80">
        <v>4.0999999999999996</v>
      </c>
      <c r="M80">
        <v>22.01</v>
      </c>
      <c r="N80">
        <v>2</v>
      </c>
      <c r="O80">
        <v>3</v>
      </c>
      <c r="P80">
        <v>132.06</v>
      </c>
      <c r="Q80">
        <v>4.96</v>
      </c>
      <c r="R80">
        <v>127.1</v>
      </c>
      <c r="AC80" s="1">
        <v>42439</v>
      </c>
    </row>
    <row r="81" spans="1:29" x14ac:dyDescent="0.25">
      <c r="A81" t="s">
        <v>450</v>
      </c>
      <c r="D81" t="s">
        <v>1448</v>
      </c>
      <c r="E81" t="s">
        <v>2000</v>
      </c>
      <c r="F81" t="s">
        <v>2076</v>
      </c>
      <c r="G81" t="s">
        <v>2087</v>
      </c>
      <c r="H81" t="s">
        <v>2093</v>
      </c>
      <c r="I81" t="s">
        <v>2098</v>
      </c>
      <c r="J81">
        <v>3484</v>
      </c>
      <c r="K81">
        <v>29.35</v>
      </c>
      <c r="L81">
        <v>3.3</v>
      </c>
      <c r="M81">
        <v>8.14</v>
      </c>
      <c r="N81">
        <v>2</v>
      </c>
      <c r="O81">
        <v>18</v>
      </c>
      <c r="P81">
        <v>293.04000000000002</v>
      </c>
      <c r="Q81">
        <v>8.77</v>
      </c>
      <c r="R81">
        <v>284.27</v>
      </c>
      <c r="AC81" s="1">
        <v>43385</v>
      </c>
    </row>
    <row r="82" spans="1:29" x14ac:dyDescent="0.25">
      <c r="A82" t="s">
        <v>532</v>
      </c>
      <c r="D82" t="s">
        <v>1527</v>
      </c>
      <c r="E82" t="s">
        <v>1982</v>
      </c>
      <c r="F82" t="s">
        <v>2078</v>
      </c>
      <c r="G82" t="s">
        <v>2087</v>
      </c>
      <c r="H82" t="s">
        <v>2093</v>
      </c>
      <c r="I82" t="s">
        <v>2111</v>
      </c>
      <c r="J82">
        <v>1590</v>
      </c>
      <c r="K82">
        <v>27.96</v>
      </c>
      <c r="L82">
        <v>2.2000000000000002</v>
      </c>
      <c r="M82">
        <v>22.17</v>
      </c>
      <c r="N82">
        <v>3</v>
      </c>
      <c r="O82">
        <v>17</v>
      </c>
      <c r="P82">
        <v>1130.67</v>
      </c>
      <c r="Q82">
        <v>6.41</v>
      </c>
      <c r="R82">
        <v>1124.26</v>
      </c>
      <c r="AC82" s="1">
        <v>40997</v>
      </c>
    </row>
    <row r="83" spans="1:29" x14ac:dyDescent="0.25">
      <c r="A83" t="s">
        <v>540</v>
      </c>
      <c r="D83" t="s">
        <v>1534</v>
      </c>
      <c r="E83" t="s">
        <v>1976</v>
      </c>
      <c r="F83" t="s">
        <v>2075</v>
      </c>
      <c r="G83" t="s">
        <v>2087</v>
      </c>
      <c r="H83" t="s">
        <v>2092</v>
      </c>
      <c r="I83" t="s">
        <v>2111</v>
      </c>
      <c r="J83">
        <v>2051</v>
      </c>
      <c r="K83">
        <v>38.29</v>
      </c>
      <c r="L83">
        <v>3.2</v>
      </c>
      <c r="M83">
        <v>18.809999999999999</v>
      </c>
      <c r="N83">
        <v>4</v>
      </c>
      <c r="O83">
        <v>7</v>
      </c>
      <c r="P83">
        <v>526.67999999999995</v>
      </c>
      <c r="Q83">
        <v>4.82</v>
      </c>
      <c r="R83">
        <v>521.86</v>
      </c>
      <c r="AC83" s="1">
        <v>40246</v>
      </c>
    </row>
    <row r="84" spans="1:29" x14ac:dyDescent="0.25">
      <c r="A84" t="s">
        <v>587</v>
      </c>
      <c r="D84" t="s">
        <v>1274</v>
      </c>
      <c r="E84" t="s">
        <v>2051</v>
      </c>
      <c r="F84" t="s">
        <v>2080</v>
      </c>
      <c r="G84" t="s">
        <v>2087</v>
      </c>
      <c r="H84" t="s">
        <v>2096</v>
      </c>
      <c r="I84" t="s">
        <v>2098</v>
      </c>
      <c r="J84">
        <v>1557</v>
      </c>
      <c r="K84">
        <v>10.99</v>
      </c>
      <c r="L84">
        <v>4.3</v>
      </c>
      <c r="M84">
        <v>37.450000000000003</v>
      </c>
      <c r="N84">
        <v>3</v>
      </c>
      <c r="O84">
        <v>6</v>
      </c>
      <c r="P84">
        <v>674.1</v>
      </c>
      <c r="Q84">
        <v>1.53</v>
      </c>
      <c r="R84">
        <v>672.57</v>
      </c>
      <c r="AC84" s="1">
        <v>42143</v>
      </c>
    </row>
    <row r="85" spans="1:29" x14ac:dyDescent="0.25">
      <c r="A85" t="s">
        <v>806</v>
      </c>
      <c r="D85" t="s">
        <v>1089</v>
      </c>
      <c r="E85" t="s">
        <v>2059</v>
      </c>
      <c r="F85" t="s">
        <v>2073</v>
      </c>
      <c r="G85" t="s">
        <v>2087</v>
      </c>
      <c r="H85" t="s">
        <v>2093</v>
      </c>
      <c r="I85" t="s">
        <v>2111</v>
      </c>
      <c r="J85">
        <v>3406</v>
      </c>
      <c r="K85">
        <v>42.86</v>
      </c>
      <c r="L85">
        <v>3.4</v>
      </c>
      <c r="M85">
        <v>17.79</v>
      </c>
      <c r="N85">
        <v>3</v>
      </c>
      <c r="O85">
        <v>11</v>
      </c>
      <c r="P85">
        <v>587.06999999999994</v>
      </c>
      <c r="Q85">
        <v>2.97</v>
      </c>
      <c r="R85">
        <v>584.1</v>
      </c>
      <c r="AC85" s="1">
        <v>41568</v>
      </c>
    </row>
    <row r="86" spans="1:29" x14ac:dyDescent="0.25">
      <c r="A86" t="s">
        <v>892</v>
      </c>
      <c r="D86" t="s">
        <v>1857</v>
      </c>
      <c r="E86" t="s">
        <v>2052</v>
      </c>
      <c r="F86" t="s">
        <v>2076</v>
      </c>
      <c r="G86" t="s">
        <v>2087</v>
      </c>
      <c r="H86" t="s">
        <v>2095</v>
      </c>
      <c r="I86" t="s">
        <v>2109</v>
      </c>
      <c r="J86">
        <v>2543</v>
      </c>
      <c r="K86">
        <v>8.8800000000000008</v>
      </c>
      <c r="L86">
        <v>4.4000000000000004</v>
      </c>
      <c r="M86">
        <v>8.42</v>
      </c>
      <c r="N86">
        <v>5</v>
      </c>
      <c r="O86">
        <v>20</v>
      </c>
      <c r="P86">
        <v>842</v>
      </c>
      <c r="Q86">
        <v>9.7200000000000006</v>
      </c>
      <c r="R86">
        <v>832.28</v>
      </c>
      <c r="AC86" s="1">
        <v>42765</v>
      </c>
    </row>
    <row r="87" spans="1:29" x14ac:dyDescent="0.25">
      <c r="A87" t="s">
        <v>1000</v>
      </c>
      <c r="D87" t="s">
        <v>1958</v>
      </c>
      <c r="E87" t="s">
        <v>1973</v>
      </c>
      <c r="F87" t="s">
        <v>2081</v>
      </c>
      <c r="G87" t="s">
        <v>2087</v>
      </c>
      <c r="H87" t="s">
        <v>2095</v>
      </c>
      <c r="I87" t="s">
        <v>2109</v>
      </c>
      <c r="J87">
        <v>3347</v>
      </c>
      <c r="K87">
        <v>11.77</v>
      </c>
      <c r="L87">
        <v>2.2999999999999998</v>
      </c>
      <c r="M87">
        <v>17.55</v>
      </c>
      <c r="N87">
        <v>2</v>
      </c>
      <c r="O87">
        <v>17</v>
      </c>
      <c r="P87">
        <v>596.70000000000005</v>
      </c>
      <c r="Q87">
        <v>3.65</v>
      </c>
      <c r="R87">
        <v>593.04999999999995</v>
      </c>
      <c r="AC87" s="1">
        <v>41699</v>
      </c>
    </row>
    <row r="88" spans="1:29" x14ac:dyDescent="0.25">
      <c r="A88" t="s">
        <v>124</v>
      </c>
      <c r="D88" t="s">
        <v>1134</v>
      </c>
      <c r="E88" t="s">
        <v>2019</v>
      </c>
      <c r="F88" t="s">
        <v>2079</v>
      </c>
      <c r="G88" t="s">
        <v>2088</v>
      </c>
      <c r="H88" t="s">
        <v>2093</v>
      </c>
      <c r="I88" t="s">
        <v>2111</v>
      </c>
      <c r="J88">
        <v>4892</v>
      </c>
      <c r="K88">
        <v>27.91</v>
      </c>
      <c r="L88">
        <v>4.5999999999999996</v>
      </c>
      <c r="M88">
        <v>24.86</v>
      </c>
      <c r="N88">
        <v>4</v>
      </c>
      <c r="O88">
        <v>5</v>
      </c>
      <c r="P88">
        <v>497.2</v>
      </c>
      <c r="Q88">
        <v>3.39</v>
      </c>
      <c r="R88">
        <v>493.81</v>
      </c>
      <c r="U88" s="18">
        <f>SUM(P:P)</f>
        <v>735452.19999999972</v>
      </c>
      <c r="AC88" s="1">
        <v>40672</v>
      </c>
    </row>
    <row r="89" spans="1:29" x14ac:dyDescent="0.25">
      <c r="A89" t="s">
        <v>160</v>
      </c>
      <c r="D89" t="s">
        <v>1169</v>
      </c>
      <c r="E89" t="s">
        <v>2040</v>
      </c>
      <c r="F89" t="s">
        <v>2082</v>
      </c>
      <c r="G89" t="s">
        <v>2088</v>
      </c>
      <c r="H89" t="s">
        <v>2094</v>
      </c>
      <c r="I89" t="s">
        <v>2098</v>
      </c>
      <c r="J89">
        <v>3582</v>
      </c>
      <c r="K89">
        <v>15.15</v>
      </c>
      <c r="L89">
        <v>3.1</v>
      </c>
      <c r="M89">
        <v>38.21</v>
      </c>
      <c r="N89">
        <v>1</v>
      </c>
      <c r="O89">
        <v>18</v>
      </c>
      <c r="P89">
        <v>687.78</v>
      </c>
      <c r="Q89">
        <v>7.77</v>
      </c>
      <c r="R89">
        <v>680.01</v>
      </c>
      <c r="AC89" s="1">
        <v>41528</v>
      </c>
    </row>
    <row r="90" spans="1:29" x14ac:dyDescent="0.25">
      <c r="A90" t="s">
        <v>163</v>
      </c>
      <c r="D90" t="s">
        <v>1172</v>
      </c>
      <c r="E90" t="s">
        <v>2036</v>
      </c>
      <c r="F90" t="s">
        <v>2080</v>
      </c>
      <c r="G90" t="s">
        <v>2088</v>
      </c>
      <c r="H90" t="s">
        <v>2094</v>
      </c>
      <c r="I90" t="s">
        <v>2109</v>
      </c>
      <c r="J90">
        <v>1020</v>
      </c>
      <c r="K90">
        <v>25.14</v>
      </c>
      <c r="L90">
        <v>4.3</v>
      </c>
      <c r="M90">
        <v>20.170000000000002</v>
      </c>
      <c r="N90">
        <v>3</v>
      </c>
      <c r="O90">
        <v>8</v>
      </c>
      <c r="P90">
        <v>484.08000000000004</v>
      </c>
      <c r="Q90">
        <v>9.93</v>
      </c>
      <c r="R90">
        <v>474.15</v>
      </c>
      <c r="AC90" s="1">
        <v>41957</v>
      </c>
    </row>
    <row r="91" spans="1:29" x14ac:dyDescent="0.25">
      <c r="A91" t="s">
        <v>178</v>
      </c>
      <c r="D91" t="s">
        <v>1187</v>
      </c>
      <c r="E91" t="s">
        <v>2050</v>
      </c>
      <c r="F91" t="s">
        <v>2078</v>
      </c>
      <c r="G91" t="s">
        <v>2088</v>
      </c>
      <c r="H91" t="s">
        <v>2095</v>
      </c>
      <c r="I91" t="s">
        <v>2100</v>
      </c>
      <c r="J91">
        <v>946</v>
      </c>
      <c r="K91">
        <v>10.33</v>
      </c>
      <c r="L91">
        <v>2.9</v>
      </c>
      <c r="M91">
        <v>11.86</v>
      </c>
      <c r="N91">
        <v>5</v>
      </c>
      <c r="O91">
        <v>10</v>
      </c>
      <c r="P91">
        <v>593</v>
      </c>
      <c r="Q91">
        <v>9.11</v>
      </c>
      <c r="R91">
        <v>583.89</v>
      </c>
      <c r="AC91" s="1">
        <v>42557</v>
      </c>
    </row>
    <row r="92" spans="1:29" x14ac:dyDescent="0.25">
      <c r="A92" t="s">
        <v>183</v>
      </c>
      <c r="D92" t="s">
        <v>1192</v>
      </c>
      <c r="E92" t="s">
        <v>2005</v>
      </c>
      <c r="F92" t="s">
        <v>2078</v>
      </c>
      <c r="G92" t="s">
        <v>2088</v>
      </c>
      <c r="H92" t="s">
        <v>2094</v>
      </c>
      <c r="I92" t="s">
        <v>2107</v>
      </c>
      <c r="J92">
        <v>2638</v>
      </c>
      <c r="K92">
        <v>41.01</v>
      </c>
      <c r="L92">
        <v>3.8</v>
      </c>
      <c r="M92">
        <v>18.72</v>
      </c>
      <c r="N92">
        <v>5</v>
      </c>
      <c r="O92">
        <v>7</v>
      </c>
      <c r="P92">
        <v>655.19999999999993</v>
      </c>
      <c r="Q92">
        <v>8.2799999999999994</v>
      </c>
      <c r="R92">
        <v>646.91999999999996</v>
      </c>
      <c r="AC92" s="1">
        <v>42001</v>
      </c>
    </row>
    <row r="93" spans="1:29" x14ac:dyDescent="0.25">
      <c r="A93" t="s">
        <v>261</v>
      </c>
      <c r="D93" t="s">
        <v>1268</v>
      </c>
      <c r="E93" t="s">
        <v>1983</v>
      </c>
      <c r="F93" t="s">
        <v>2082</v>
      </c>
      <c r="G93" t="s">
        <v>2088</v>
      </c>
      <c r="H93" t="s">
        <v>2092</v>
      </c>
      <c r="I93" t="s">
        <v>2104</v>
      </c>
      <c r="J93">
        <v>2261</v>
      </c>
      <c r="K93">
        <v>32.19</v>
      </c>
      <c r="L93">
        <v>1.5</v>
      </c>
      <c r="M93">
        <v>12.27</v>
      </c>
      <c r="N93">
        <v>2</v>
      </c>
      <c r="O93">
        <v>15</v>
      </c>
      <c r="P93">
        <v>368.09999999999997</v>
      </c>
      <c r="Q93">
        <v>3.64</v>
      </c>
      <c r="R93">
        <v>364.46</v>
      </c>
      <c r="AC93" s="1">
        <v>42279</v>
      </c>
    </row>
    <row r="94" spans="1:29" x14ac:dyDescent="0.25">
      <c r="A94" t="s">
        <v>291</v>
      </c>
      <c r="D94" t="s">
        <v>1296</v>
      </c>
      <c r="E94" t="s">
        <v>2005</v>
      </c>
      <c r="F94" t="s">
        <v>2076</v>
      </c>
      <c r="G94" t="s">
        <v>2088</v>
      </c>
      <c r="H94" t="s">
        <v>2092</v>
      </c>
      <c r="I94" t="s">
        <v>2102</v>
      </c>
      <c r="J94">
        <v>2851</v>
      </c>
      <c r="K94">
        <v>17.25</v>
      </c>
      <c r="L94">
        <v>1.7</v>
      </c>
      <c r="M94">
        <v>30.7</v>
      </c>
      <c r="N94">
        <v>1</v>
      </c>
      <c r="O94">
        <v>13</v>
      </c>
      <c r="P94">
        <v>399.09999999999997</v>
      </c>
      <c r="Q94">
        <v>9.1199999999999992</v>
      </c>
      <c r="R94">
        <v>389.98</v>
      </c>
      <c r="AC94" s="1">
        <v>40582</v>
      </c>
    </row>
    <row r="95" spans="1:29" x14ac:dyDescent="0.25">
      <c r="A95" t="s">
        <v>484</v>
      </c>
      <c r="D95" t="s">
        <v>1482</v>
      </c>
      <c r="E95" t="s">
        <v>2007</v>
      </c>
      <c r="F95" t="s">
        <v>2073</v>
      </c>
      <c r="G95" t="s">
        <v>2088</v>
      </c>
      <c r="H95" t="s">
        <v>2092</v>
      </c>
      <c r="I95" t="s">
        <v>2102</v>
      </c>
      <c r="J95">
        <v>388</v>
      </c>
      <c r="K95">
        <v>45.15</v>
      </c>
      <c r="L95">
        <v>3.5</v>
      </c>
      <c r="M95">
        <v>7.79</v>
      </c>
      <c r="N95">
        <v>1</v>
      </c>
      <c r="O95">
        <v>16</v>
      </c>
      <c r="P95">
        <v>124.64</v>
      </c>
      <c r="Q95">
        <v>4.93</v>
      </c>
      <c r="R95">
        <v>119.71</v>
      </c>
      <c r="AC95" s="1">
        <v>42127</v>
      </c>
    </row>
    <row r="96" spans="1:29" x14ac:dyDescent="0.25">
      <c r="A96" t="s">
        <v>499</v>
      </c>
      <c r="D96" t="s">
        <v>1495</v>
      </c>
      <c r="E96" t="s">
        <v>1980</v>
      </c>
      <c r="F96" t="s">
        <v>2081</v>
      </c>
      <c r="G96" t="s">
        <v>2088</v>
      </c>
      <c r="H96" t="s">
        <v>2094</v>
      </c>
      <c r="I96" t="s">
        <v>2107</v>
      </c>
      <c r="J96">
        <v>1895</v>
      </c>
      <c r="K96">
        <v>13.83</v>
      </c>
      <c r="L96">
        <v>2.2999999999999998</v>
      </c>
      <c r="M96">
        <v>24.82</v>
      </c>
      <c r="N96">
        <v>4</v>
      </c>
      <c r="O96">
        <v>3</v>
      </c>
      <c r="P96">
        <v>297.84000000000003</v>
      </c>
      <c r="Q96">
        <v>2.59</v>
      </c>
      <c r="R96">
        <v>295.25</v>
      </c>
      <c r="AC96" s="1">
        <v>41579</v>
      </c>
    </row>
    <row r="97" spans="1:29" x14ac:dyDescent="0.25">
      <c r="A97" t="s">
        <v>546</v>
      </c>
      <c r="D97" t="s">
        <v>1540</v>
      </c>
      <c r="E97" t="s">
        <v>1994</v>
      </c>
      <c r="F97" t="s">
        <v>2075</v>
      </c>
      <c r="G97" t="s">
        <v>2088</v>
      </c>
      <c r="H97" t="s">
        <v>2096</v>
      </c>
      <c r="I97" t="s">
        <v>2102</v>
      </c>
      <c r="J97">
        <v>4913</v>
      </c>
      <c r="K97">
        <v>43.29</v>
      </c>
      <c r="L97">
        <v>1.6</v>
      </c>
      <c r="M97">
        <v>26.31</v>
      </c>
      <c r="N97">
        <v>2</v>
      </c>
      <c r="O97">
        <v>1</v>
      </c>
      <c r="P97">
        <v>52.62</v>
      </c>
      <c r="Q97">
        <v>0.38</v>
      </c>
      <c r="R97">
        <v>52.24</v>
      </c>
      <c r="AC97" s="1">
        <v>42060</v>
      </c>
    </row>
    <row r="98" spans="1:29" x14ac:dyDescent="0.25">
      <c r="A98" t="s">
        <v>638</v>
      </c>
      <c r="D98" t="s">
        <v>1623</v>
      </c>
      <c r="E98" t="s">
        <v>2069</v>
      </c>
      <c r="F98" t="s">
        <v>2077</v>
      </c>
      <c r="G98" t="s">
        <v>2088</v>
      </c>
      <c r="H98" t="s">
        <v>2094</v>
      </c>
      <c r="I98" t="s">
        <v>2109</v>
      </c>
      <c r="J98">
        <v>591</v>
      </c>
      <c r="K98">
        <v>24.57</v>
      </c>
      <c r="L98">
        <v>2.4</v>
      </c>
      <c r="M98">
        <v>6.36</v>
      </c>
      <c r="N98">
        <v>1</v>
      </c>
      <c r="O98">
        <v>5</v>
      </c>
      <c r="P98">
        <v>31.8</v>
      </c>
      <c r="Q98">
        <v>8.0500000000000007</v>
      </c>
      <c r="R98">
        <v>23.75</v>
      </c>
      <c r="AC98" s="1">
        <v>40779</v>
      </c>
    </row>
    <row r="99" spans="1:29" x14ac:dyDescent="0.25">
      <c r="A99" t="s">
        <v>883</v>
      </c>
      <c r="D99" t="s">
        <v>1849</v>
      </c>
      <c r="E99" t="s">
        <v>2005</v>
      </c>
      <c r="F99" t="s">
        <v>2078</v>
      </c>
      <c r="G99" t="s">
        <v>2088</v>
      </c>
      <c r="H99" t="s">
        <v>2096</v>
      </c>
      <c r="I99" t="s">
        <v>2106</v>
      </c>
      <c r="J99">
        <v>1542</v>
      </c>
      <c r="K99">
        <v>45.49</v>
      </c>
      <c r="L99">
        <v>3.4</v>
      </c>
      <c r="M99">
        <v>23.3</v>
      </c>
      <c r="N99">
        <v>4</v>
      </c>
      <c r="O99">
        <v>8</v>
      </c>
      <c r="P99">
        <v>745.6</v>
      </c>
      <c r="Q99">
        <v>5.98</v>
      </c>
      <c r="R99">
        <v>739.62</v>
      </c>
      <c r="AC99" s="1">
        <v>40605</v>
      </c>
    </row>
    <row r="100" spans="1:29" x14ac:dyDescent="0.25">
      <c r="A100" t="s">
        <v>939</v>
      </c>
      <c r="D100" t="s">
        <v>1902</v>
      </c>
      <c r="E100" t="s">
        <v>2014</v>
      </c>
      <c r="F100" t="s">
        <v>2073</v>
      </c>
      <c r="G100" t="s">
        <v>2088</v>
      </c>
      <c r="H100" t="s">
        <v>2096</v>
      </c>
      <c r="I100" t="s">
        <v>2111</v>
      </c>
      <c r="J100">
        <v>3320</v>
      </c>
      <c r="K100">
        <v>37.42</v>
      </c>
      <c r="L100">
        <v>4.4000000000000004</v>
      </c>
      <c r="M100">
        <v>12.96</v>
      </c>
      <c r="N100">
        <v>3</v>
      </c>
      <c r="O100">
        <v>18</v>
      </c>
      <c r="P100">
        <v>699.84</v>
      </c>
      <c r="Q100">
        <v>7.1</v>
      </c>
      <c r="R100">
        <v>692.74</v>
      </c>
      <c r="AC100" s="1">
        <v>42507</v>
      </c>
    </row>
    <row r="101" spans="1:29" x14ac:dyDescent="0.25">
      <c r="A101" t="s">
        <v>19</v>
      </c>
      <c r="D101" t="s">
        <v>1029</v>
      </c>
      <c r="E101" t="s">
        <v>1975</v>
      </c>
      <c r="F101" t="s">
        <v>2075</v>
      </c>
      <c r="G101" t="s">
        <v>2085</v>
      </c>
      <c r="H101" t="s">
        <v>2094</v>
      </c>
      <c r="I101" t="s">
        <v>2099</v>
      </c>
      <c r="J101">
        <v>3207</v>
      </c>
      <c r="K101">
        <v>33.35</v>
      </c>
      <c r="L101">
        <v>4</v>
      </c>
      <c r="M101">
        <v>12.97</v>
      </c>
      <c r="N101">
        <v>1</v>
      </c>
      <c r="O101">
        <v>10</v>
      </c>
      <c r="P101">
        <v>129.70000000000002</v>
      </c>
      <c r="Q101">
        <v>6.7</v>
      </c>
      <c r="R101">
        <v>123</v>
      </c>
      <c r="AC101" s="1">
        <v>42651</v>
      </c>
    </row>
    <row r="102" spans="1:29" x14ac:dyDescent="0.25">
      <c r="A102" t="s">
        <v>37</v>
      </c>
      <c r="D102" t="s">
        <v>1047</v>
      </c>
      <c r="E102" t="s">
        <v>1991</v>
      </c>
      <c r="F102" t="s">
        <v>2074</v>
      </c>
      <c r="G102" t="s">
        <v>2085</v>
      </c>
      <c r="H102" t="s">
        <v>2094</v>
      </c>
      <c r="I102" t="s">
        <v>2108</v>
      </c>
      <c r="J102">
        <v>2258</v>
      </c>
      <c r="K102">
        <v>21.12</v>
      </c>
      <c r="L102">
        <v>3</v>
      </c>
      <c r="M102">
        <v>19.78</v>
      </c>
      <c r="N102">
        <v>1</v>
      </c>
      <c r="O102">
        <v>19</v>
      </c>
      <c r="P102">
        <v>375.82000000000005</v>
      </c>
      <c r="Q102">
        <v>7.37</v>
      </c>
      <c r="R102">
        <v>368.45</v>
      </c>
      <c r="AC102" s="1">
        <v>42459</v>
      </c>
    </row>
    <row r="103" spans="1:29" x14ac:dyDescent="0.25">
      <c r="A103" t="s">
        <v>111</v>
      </c>
      <c r="D103" t="s">
        <v>1121</v>
      </c>
      <c r="E103" t="s">
        <v>1976</v>
      </c>
      <c r="F103" t="s">
        <v>2075</v>
      </c>
      <c r="G103" t="s">
        <v>2085</v>
      </c>
      <c r="H103" t="s">
        <v>2093</v>
      </c>
      <c r="I103" t="s">
        <v>2103</v>
      </c>
      <c r="J103">
        <v>2855</v>
      </c>
      <c r="K103">
        <v>18.68</v>
      </c>
      <c r="L103">
        <v>4.3</v>
      </c>
      <c r="M103">
        <v>26.74</v>
      </c>
      <c r="N103">
        <v>4</v>
      </c>
      <c r="O103">
        <v>1</v>
      </c>
      <c r="P103">
        <v>106.96</v>
      </c>
      <c r="Q103">
        <v>7.68</v>
      </c>
      <c r="R103">
        <v>99.28</v>
      </c>
      <c r="AC103" s="1">
        <v>41702</v>
      </c>
    </row>
    <row r="104" spans="1:29" x14ac:dyDescent="0.25">
      <c r="A104" t="s">
        <v>181</v>
      </c>
      <c r="D104" t="s">
        <v>1190</v>
      </c>
      <c r="E104" t="s">
        <v>2041</v>
      </c>
      <c r="F104" t="s">
        <v>2076</v>
      </c>
      <c r="G104" t="s">
        <v>2085</v>
      </c>
      <c r="H104" t="s">
        <v>2096</v>
      </c>
      <c r="I104" t="s">
        <v>2100</v>
      </c>
      <c r="J104">
        <v>935</v>
      </c>
      <c r="K104">
        <v>39.94</v>
      </c>
      <c r="L104">
        <v>2.1</v>
      </c>
      <c r="M104">
        <v>24.14</v>
      </c>
      <c r="N104">
        <v>1</v>
      </c>
      <c r="O104">
        <v>13</v>
      </c>
      <c r="P104">
        <v>313.82</v>
      </c>
      <c r="Q104">
        <v>2.11</v>
      </c>
      <c r="R104">
        <v>311.70999999999998</v>
      </c>
      <c r="AC104" s="1">
        <v>43038</v>
      </c>
    </row>
    <row r="105" spans="1:29" x14ac:dyDescent="0.25">
      <c r="A105" t="s">
        <v>413</v>
      </c>
      <c r="D105" t="s">
        <v>1412</v>
      </c>
      <c r="E105" t="s">
        <v>2020</v>
      </c>
      <c r="F105" t="s">
        <v>2076</v>
      </c>
      <c r="G105" t="s">
        <v>2085</v>
      </c>
      <c r="H105" t="s">
        <v>2096</v>
      </c>
      <c r="I105" t="s">
        <v>2099</v>
      </c>
      <c r="J105">
        <v>4623</v>
      </c>
      <c r="K105">
        <v>41.2</v>
      </c>
      <c r="L105">
        <v>1.6</v>
      </c>
      <c r="M105">
        <v>26.61</v>
      </c>
      <c r="N105">
        <v>5</v>
      </c>
      <c r="O105">
        <v>6</v>
      </c>
      <c r="P105">
        <v>798.30000000000007</v>
      </c>
      <c r="Q105">
        <v>3.99</v>
      </c>
      <c r="R105">
        <v>794.31</v>
      </c>
      <c r="AC105" s="1">
        <v>40552</v>
      </c>
    </row>
    <row r="106" spans="1:29" x14ac:dyDescent="0.25">
      <c r="A106" t="s">
        <v>501</v>
      </c>
      <c r="D106" t="s">
        <v>1497</v>
      </c>
      <c r="E106" t="s">
        <v>2063</v>
      </c>
      <c r="F106" t="s">
        <v>2079</v>
      </c>
      <c r="G106" t="s">
        <v>2085</v>
      </c>
      <c r="H106" t="s">
        <v>2093</v>
      </c>
      <c r="I106" t="s">
        <v>2103</v>
      </c>
      <c r="J106">
        <v>1979</v>
      </c>
      <c r="K106">
        <v>14.08</v>
      </c>
      <c r="L106">
        <v>3.9</v>
      </c>
      <c r="M106">
        <v>25.05</v>
      </c>
      <c r="N106">
        <v>5</v>
      </c>
      <c r="O106">
        <v>2</v>
      </c>
      <c r="P106">
        <v>250.5</v>
      </c>
      <c r="Q106">
        <v>4.62</v>
      </c>
      <c r="R106">
        <v>245.88</v>
      </c>
      <c r="AC106" s="1">
        <v>41693</v>
      </c>
    </row>
    <row r="107" spans="1:29" x14ac:dyDescent="0.25">
      <c r="A107" t="s">
        <v>508</v>
      </c>
      <c r="D107" t="s">
        <v>1503</v>
      </c>
      <c r="E107" t="s">
        <v>2038</v>
      </c>
      <c r="F107" t="s">
        <v>2078</v>
      </c>
      <c r="G107" t="s">
        <v>2085</v>
      </c>
      <c r="H107" t="s">
        <v>2094</v>
      </c>
      <c r="I107" t="s">
        <v>2098</v>
      </c>
      <c r="J107">
        <v>2910</v>
      </c>
      <c r="K107">
        <v>25.12</v>
      </c>
      <c r="L107">
        <v>4.7</v>
      </c>
      <c r="M107">
        <v>28.75</v>
      </c>
      <c r="N107">
        <v>3</v>
      </c>
      <c r="O107">
        <v>4</v>
      </c>
      <c r="P107">
        <v>345</v>
      </c>
      <c r="Q107">
        <v>7.33</v>
      </c>
      <c r="R107">
        <v>337.67</v>
      </c>
      <c r="AC107" s="1">
        <v>42775</v>
      </c>
    </row>
    <row r="108" spans="1:29" ht="18.75" x14ac:dyDescent="0.3">
      <c r="A108" t="s">
        <v>597</v>
      </c>
      <c r="D108" t="s">
        <v>1584</v>
      </c>
      <c r="E108" t="s">
        <v>2042</v>
      </c>
      <c r="F108" t="s">
        <v>2079</v>
      </c>
      <c r="G108" t="s">
        <v>2085</v>
      </c>
      <c r="H108" t="s">
        <v>2095</v>
      </c>
      <c r="I108" t="s">
        <v>2109</v>
      </c>
      <c r="J108">
        <v>4757</v>
      </c>
      <c r="K108">
        <v>41.64</v>
      </c>
      <c r="L108">
        <v>4.0999999999999996</v>
      </c>
      <c r="M108">
        <v>5.64</v>
      </c>
      <c r="N108">
        <v>3</v>
      </c>
      <c r="O108">
        <v>13</v>
      </c>
      <c r="P108">
        <v>219.95999999999998</v>
      </c>
      <c r="Q108">
        <v>9.94</v>
      </c>
      <c r="R108">
        <v>210.02</v>
      </c>
      <c r="U108" s="16" t="s">
        <v>2142</v>
      </c>
      <c r="AC108" s="1">
        <v>40354</v>
      </c>
    </row>
    <row r="109" spans="1:29" x14ac:dyDescent="0.25">
      <c r="A109" t="s">
        <v>602</v>
      </c>
      <c r="D109" t="s">
        <v>1589</v>
      </c>
      <c r="E109" t="s">
        <v>1987</v>
      </c>
      <c r="F109" t="s">
        <v>2079</v>
      </c>
      <c r="G109" t="s">
        <v>2085</v>
      </c>
      <c r="H109" t="s">
        <v>2092</v>
      </c>
      <c r="I109" t="s">
        <v>2098</v>
      </c>
      <c r="J109">
        <v>928</v>
      </c>
      <c r="K109">
        <v>49.57</v>
      </c>
      <c r="L109">
        <v>4.5</v>
      </c>
      <c r="M109">
        <v>15.43</v>
      </c>
      <c r="N109">
        <v>4</v>
      </c>
      <c r="O109">
        <v>6</v>
      </c>
      <c r="P109">
        <v>370.32</v>
      </c>
      <c r="Q109">
        <v>1.22</v>
      </c>
      <c r="R109">
        <v>369.1</v>
      </c>
      <c r="AC109" s="1">
        <v>43069</v>
      </c>
    </row>
    <row r="110" spans="1:29" x14ac:dyDescent="0.25">
      <c r="A110" t="s">
        <v>632</v>
      </c>
      <c r="D110" t="s">
        <v>1617</v>
      </c>
      <c r="E110" t="s">
        <v>2051</v>
      </c>
      <c r="F110" t="s">
        <v>2076</v>
      </c>
      <c r="G110" t="s">
        <v>2085</v>
      </c>
      <c r="H110" t="s">
        <v>2094</v>
      </c>
      <c r="I110" t="s">
        <v>2098</v>
      </c>
      <c r="J110">
        <v>3894</v>
      </c>
      <c r="K110">
        <v>29.57</v>
      </c>
      <c r="L110">
        <v>3.5</v>
      </c>
      <c r="M110">
        <v>14.65</v>
      </c>
      <c r="N110">
        <v>5</v>
      </c>
      <c r="O110">
        <v>17</v>
      </c>
      <c r="P110">
        <v>1245.25</v>
      </c>
      <c r="Q110">
        <v>4.95</v>
      </c>
      <c r="R110">
        <v>1240.3</v>
      </c>
      <c r="AC110" s="1">
        <v>43163</v>
      </c>
    </row>
    <row r="111" spans="1:29" x14ac:dyDescent="0.25">
      <c r="A111" t="s">
        <v>780</v>
      </c>
      <c r="D111" t="s">
        <v>1756</v>
      </c>
      <c r="E111" t="s">
        <v>2071</v>
      </c>
      <c r="F111" t="s">
        <v>2078</v>
      </c>
      <c r="G111" t="s">
        <v>2085</v>
      </c>
      <c r="H111" t="s">
        <v>2093</v>
      </c>
      <c r="I111" t="s">
        <v>2110</v>
      </c>
      <c r="J111">
        <v>2912</v>
      </c>
      <c r="K111">
        <v>20.59</v>
      </c>
      <c r="L111">
        <v>1.5</v>
      </c>
      <c r="M111">
        <v>25.91</v>
      </c>
      <c r="N111">
        <v>4</v>
      </c>
      <c r="O111">
        <v>7</v>
      </c>
      <c r="P111">
        <v>725.48</v>
      </c>
      <c r="Q111">
        <v>3.69</v>
      </c>
      <c r="R111">
        <v>721.79</v>
      </c>
      <c r="AC111" s="1">
        <v>41613</v>
      </c>
    </row>
    <row r="112" spans="1:29" x14ac:dyDescent="0.25">
      <c r="A112" t="s">
        <v>874</v>
      </c>
      <c r="D112" t="s">
        <v>1840</v>
      </c>
      <c r="E112" t="s">
        <v>2012</v>
      </c>
      <c r="F112" t="s">
        <v>2076</v>
      </c>
      <c r="G112" t="s">
        <v>2085</v>
      </c>
      <c r="H112" t="s">
        <v>2096</v>
      </c>
      <c r="I112" t="s">
        <v>2107</v>
      </c>
      <c r="J112">
        <v>1071</v>
      </c>
      <c r="K112">
        <v>15.72</v>
      </c>
      <c r="L112">
        <v>4.0999999999999996</v>
      </c>
      <c r="M112">
        <v>33.08</v>
      </c>
      <c r="N112">
        <v>5</v>
      </c>
      <c r="O112">
        <v>1</v>
      </c>
      <c r="P112">
        <v>165.39999999999998</v>
      </c>
      <c r="Q112">
        <v>6.32</v>
      </c>
      <c r="R112">
        <v>159.08000000000001</v>
      </c>
      <c r="AC112" s="1">
        <v>43453</v>
      </c>
    </row>
    <row r="113" spans="1:29" x14ac:dyDescent="0.25">
      <c r="A113" t="s">
        <v>900</v>
      </c>
      <c r="D113" t="s">
        <v>1865</v>
      </c>
      <c r="E113" t="s">
        <v>1983</v>
      </c>
      <c r="F113" t="s">
        <v>2075</v>
      </c>
      <c r="G113" t="s">
        <v>2085</v>
      </c>
      <c r="H113" t="s">
        <v>2094</v>
      </c>
      <c r="I113" t="s">
        <v>2111</v>
      </c>
      <c r="J113">
        <v>1826</v>
      </c>
      <c r="K113">
        <v>6.78</v>
      </c>
      <c r="L113">
        <v>1.4</v>
      </c>
      <c r="M113">
        <v>9.64</v>
      </c>
      <c r="N113">
        <v>1</v>
      </c>
      <c r="O113">
        <v>19</v>
      </c>
      <c r="P113">
        <v>183.16000000000003</v>
      </c>
      <c r="Q113">
        <v>1.42</v>
      </c>
      <c r="R113">
        <v>181.74</v>
      </c>
      <c r="AC113" s="1">
        <v>42500</v>
      </c>
    </row>
    <row r="114" spans="1:29" x14ac:dyDescent="0.25">
      <c r="A114" t="s">
        <v>915</v>
      </c>
      <c r="D114" t="s">
        <v>1880</v>
      </c>
      <c r="E114" t="s">
        <v>2051</v>
      </c>
      <c r="F114" t="s">
        <v>2075</v>
      </c>
      <c r="G114" t="s">
        <v>2085</v>
      </c>
      <c r="H114" t="s">
        <v>2093</v>
      </c>
      <c r="I114" t="s">
        <v>2111</v>
      </c>
      <c r="J114">
        <v>4203</v>
      </c>
      <c r="K114">
        <v>48.43</v>
      </c>
      <c r="L114">
        <v>1.4</v>
      </c>
      <c r="M114">
        <v>36.590000000000003</v>
      </c>
      <c r="N114">
        <v>3</v>
      </c>
      <c r="O114">
        <v>11</v>
      </c>
      <c r="P114">
        <v>1207.47</v>
      </c>
      <c r="Q114">
        <v>8.6300000000000008</v>
      </c>
      <c r="R114">
        <v>1198.8399999999999</v>
      </c>
      <c r="AC114" s="1">
        <v>43277</v>
      </c>
    </row>
    <row r="115" spans="1:29" x14ac:dyDescent="0.25">
      <c r="A115" t="s">
        <v>925</v>
      </c>
      <c r="D115" t="s">
        <v>1890</v>
      </c>
      <c r="E115" t="s">
        <v>1998</v>
      </c>
      <c r="F115" t="s">
        <v>2079</v>
      </c>
      <c r="G115" t="s">
        <v>2085</v>
      </c>
      <c r="H115" t="s">
        <v>2092</v>
      </c>
      <c r="I115" t="s">
        <v>2102</v>
      </c>
      <c r="J115">
        <v>2269</v>
      </c>
      <c r="K115">
        <v>30.41</v>
      </c>
      <c r="L115">
        <v>3.7</v>
      </c>
      <c r="M115">
        <v>39.21</v>
      </c>
      <c r="N115">
        <v>2</v>
      </c>
      <c r="O115">
        <v>20</v>
      </c>
      <c r="P115">
        <v>1568.4</v>
      </c>
      <c r="Q115">
        <v>2.11</v>
      </c>
      <c r="R115">
        <v>1566.29</v>
      </c>
      <c r="U115">
        <f>AVERAGE(Table2[Rating])</f>
        <v>3.0710000000000002</v>
      </c>
      <c r="AC115" s="1">
        <v>43288</v>
      </c>
    </row>
    <row r="116" spans="1:29" x14ac:dyDescent="0.25">
      <c r="A116" t="s">
        <v>978</v>
      </c>
      <c r="D116" t="s">
        <v>1937</v>
      </c>
      <c r="E116" t="s">
        <v>2062</v>
      </c>
      <c r="F116" t="s">
        <v>2076</v>
      </c>
      <c r="G116" t="s">
        <v>2085</v>
      </c>
      <c r="H116" t="s">
        <v>2094</v>
      </c>
      <c r="I116" t="s">
        <v>2100</v>
      </c>
      <c r="J116">
        <v>3858</v>
      </c>
      <c r="K116">
        <v>49.66</v>
      </c>
      <c r="L116">
        <v>4.8</v>
      </c>
      <c r="M116">
        <v>9.1999999999999993</v>
      </c>
      <c r="N116">
        <v>3</v>
      </c>
      <c r="O116">
        <v>16</v>
      </c>
      <c r="P116">
        <v>441.59999999999997</v>
      </c>
      <c r="Q116">
        <v>6.59</v>
      </c>
      <c r="R116">
        <v>435.01</v>
      </c>
      <c r="AC116" s="1">
        <v>42981</v>
      </c>
    </row>
    <row r="117" spans="1:29" x14ac:dyDescent="0.25">
      <c r="A117" t="s">
        <v>61</v>
      </c>
      <c r="D117" t="s">
        <v>1071</v>
      </c>
      <c r="E117" t="s">
        <v>1975</v>
      </c>
      <c r="F117" t="s">
        <v>2078</v>
      </c>
      <c r="G117" t="s">
        <v>2091</v>
      </c>
      <c r="H117" t="s">
        <v>2092</v>
      </c>
      <c r="I117" t="s">
        <v>2105</v>
      </c>
      <c r="J117">
        <v>728</v>
      </c>
      <c r="K117">
        <v>7.32</v>
      </c>
      <c r="L117">
        <v>2.5</v>
      </c>
      <c r="M117">
        <v>9.61</v>
      </c>
      <c r="N117">
        <v>5</v>
      </c>
      <c r="O117">
        <v>20</v>
      </c>
      <c r="P117">
        <v>961</v>
      </c>
      <c r="Q117">
        <v>3.63</v>
      </c>
      <c r="R117">
        <v>957.37</v>
      </c>
      <c r="AC117" s="1">
        <v>42791</v>
      </c>
    </row>
    <row r="118" spans="1:29" x14ac:dyDescent="0.25">
      <c r="A118" t="s">
        <v>197</v>
      </c>
      <c r="D118" t="s">
        <v>1206</v>
      </c>
      <c r="E118" t="s">
        <v>2038</v>
      </c>
      <c r="F118" t="s">
        <v>2076</v>
      </c>
      <c r="G118" t="s">
        <v>2091</v>
      </c>
      <c r="H118" t="s">
        <v>2096</v>
      </c>
      <c r="I118" t="s">
        <v>2101</v>
      </c>
      <c r="J118">
        <v>1423</v>
      </c>
      <c r="K118">
        <v>38.79</v>
      </c>
      <c r="L118">
        <v>3.1</v>
      </c>
      <c r="M118">
        <v>19.98</v>
      </c>
      <c r="N118">
        <v>3</v>
      </c>
      <c r="O118">
        <v>19</v>
      </c>
      <c r="P118">
        <v>1138.8599999999999</v>
      </c>
      <c r="Q118">
        <v>7.25</v>
      </c>
      <c r="R118">
        <v>1131.6099999999999</v>
      </c>
      <c r="AC118" s="1">
        <v>40619</v>
      </c>
    </row>
    <row r="119" spans="1:29" x14ac:dyDescent="0.25">
      <c r="A119" t="s">
        <v>203</v>
      </c>
      <c r="D119" t="s">
        <v>1212</v>
      </c>
      <c r="E119" t="s">
        <v>1982</v>
      </c>
      <c r="F119" t="s">
        <v>2080</v>
      </c>
      <c r="G119" t="s">
        <v>2091</v>
      </c>
      <c r="H119" t="s">
        <v>2092</v>
      </c>
      <c r="I119" t="s">
        <v>2103</v>
      </c>
      <c r="J119">
        <v>1654</v>
      </c>
      <c r="K119">
        <v>9.59</v>
      </c>
      <c r="L119">
        <v>2.5</v>
      </c>
      <c r="M119">
        <v>35.21</v>
      </c>
      <c r="N119">
        <v>2</v>
      </c>
      <c r="O119">
        <v>10</v>
      </c>
      <c r="P119">
        <v>704.2</v>
      </c>
      <c r="Q119">
        <v>0.26</v>
      </c>
      <c r="R119">
        <v>703.94</v>
      </c>
      <c r="AC119" s="1">
        <v>40751</v>
      </c>
    </row>
    <row r="120" spans="1:29" x14ac:dyDescent="0.25">
      <c r="A120" t="s">
        <v>208</v>
      </c>
      <c r="D120" t="s">
        <v>1217</v>
      </c>
      <c r="E120" t="s">
        <v>2028</v>
      </c>
      <c r="F120" t="s">
        <v>2081</v>
      </c>
      <c r="G120" t="s">
        <v>2091</v>
      </c>
      <c r="H120" t="s">
        <v>2094</v>
      </c>
      <c r="I120" t="s">
        <v>2100</v>
      </c>
      <c r="J120">
        <v>139</v>
      </c>
      <c r="K120">
        <v>15.24</v>
      </c>
      <c r="L120">
        <v>3.6</v>
      </c>
      <c r="M120">
        <v>15.31</v>
      </c>
      <c r="N120">
        <v>3</v>
      </c>
      <c r="O120">
        <v>17</v>
      </c>
      <c r="P120">
        <v>780.81</v>
      </c>
      <c r="Q120">
        <v>4.24</v>
      </c>
      <c r="R120">
        <v>776.57</v>
      </c>
      <c r="AC120" s="1">
        <v>41099</v>
      </c>
    </row>
    <row r="121" spans="1:29" x14ac:dyDescent="0.25">
      <c r="A121" t="s">
        <v>251</v>
      </c>
      <c r="D121" t="s">
        <v>1258</v>
      </c>
      <c r="E121" t="s">
        <v>1974</v>
      </c>
      <c r="F121" t="s">
        <v>2073</v>
      </c>
      <c r="G121" t="s">
        <v>2091</v>
      </c>
      <c r="H121" t="s">
        <v>2096</v>
      </c>
      <c r="I121" t="s">
        <v>2100</v>
      </c>
      <c r="J121">
        <v>2256</v>
      </c>
      <c r="K121">
        <v>44.64</v>
      </c>
      <c r="L121">
        <v>2.7</v>
      </c>
      <c r="M121">
        <v>16.54</v>
      </c>
      <c r="N121">
        <v>5</v>
      </c>
      <c r="O121">
        <v>20</v>
      </c>
      <c r="P121">
        <v>1653.9999999999998</v>
      </c>
      <c r="Q121">
        <v>6.51</v>
      </c>
      <c r="R121">
        <v>1647.49</v>
      </c>
      <c r="AC121" s="1">
        <v>40795</v>
      </c>
    </row>
    <row r="122" spans="1:29" x14ac:dyDescent="0.25">
      <c r="A122" t="s">
        <v>272</v>
      </c>
      <c r="D122" t="s">
        <v>1278</v>
      </c>
      <c r="E122" t="s">
        <v>2050</v>
      </c>
      <c r="F122" t="s">
        <v>2081</v>
      </c>
      <c r="G122" t="s">
        <v>2091</v>
      </c>
      <c r="H122" t="s">
        <v>2096</v>
      </c>
      <c r="I122" t="s">
        <v>2102</v>
      </c>
      <c r="J122">
        <v>1313</v>
      </c>
      <c r="K122">
        <v>30.32</v>
      </c>
      <c r="L122">
        <v>3.6</v>
      </c>
      <c r="M122">
        <v>37.94</v>
      </c>
      <c r="N122">
        <v>3</v>
      </c>
      <c r="O122">
        <v>6</v>
      </c>
      <c r="P122">
        <v>682.92</v>
      </c>
      <c r="Q122">
        <v>2.34</v>
      </c>
      <c r="R122">
        <v>680.58</v>
      </c>
      <c r="AC122" s="1">
        <v>42362</v>
      </c>
    </row>
    <row r="123" spans="1:29" x14ac:dyDescent="0.25">
      <c r="A123" t="s">
        <v>339</v>
      </c>
      <c r="D123" t="s">
        <v>1342</v>
      </c>
      <c r="E123" t="s">
        <v>2023</v>
      </c>
      <c r="F123" t="s">
        <v>2081</v>
      </c>
      <c r="G123" t="s">
        <v>2091</v>
      </c>
      <c r="H123" t="s">
        <v>2095</v>
      </c>
      <c r="I123" t="s">
        <v>2111</v>
      </c>
      <c r="J123">
        <v>3163</v>
      </c>
      <c r="K123">
        <v>24.97</v>
      </c>
      <c r="L123">
        <v>2.8</v>
      </c>
      <c r="M123">
        <v>28.4</v>
      </c>
      <c r="N123">
        <v>4</v>
      </c>
      <c r="O123">
        <v>2</v>
      </c>
      <c r="P123">
        <v>227.2</v>
      </c>
      <c r="Q123">
        <v>6.06</v>
      </c>
      <c r="R123">
        <v>221.14</v>
      </c>
      <c r="AC123" s="1">
        <v>43065</v>
      </c>
    </row>
    <row r="124" spans="1:29" x14ac:dyDescent="0.25">
      <c r="A124" t="s">
        <v>388</v>
      </c>
      <c r="D124" t="s">
        <v>1389</v>
      </c>
      <c r="E124" t="s">
        <v>1974</v>
      </c>
      <c r="F124" t="s">
        <v>2076</v>
      </c>
      <c r="G124" t="s">
        <v>2091</v>
      </c>
      <c r="H124" t="s">
        <v>2096</v>
      </c>
      <c r="I124" t="s">
        <v>2111</v>
      </c>
      <c r="J124">
        <v>3351</v>
      </c>
      <c r="K124">
        <v>18.010000000000002</v>
      </c>
      <c r="L124">
        <v>4.2</v>
      </c>
      <c r="M124">
        <v>37.14</v>
      </c>
      <c r="N124">
        <v>3</v>
      </c>
      <c r="O124">
        <v>8</v>
      </c>
      <c r="P124">
        <v>891.36</v>
      </c>
      <c r="Q124">
        <v>5.84</v>
      </c>
      <c r="R124">
        <v>885.52</v>
      </c>
      <c r="AC124" s="1">
        <v>41639</v>
      </c>
    </row>
    <row r="125" spans="1:29" x14ac:dyDescent="0.25">
      <c r="A125" t="s">
        <v>408</v>
      </c>
      <c r="D125" t="s">
        <v>1354</v>
      </c>
      <c r="E125" t="s">
        <v>2052</v>
      </c>
      <c r="F125" t="s">
        <v>2079</v>
      </c>
      <c r="G125" t="s">
        <v>2091</v>
      </c>
      <c r="H125" t="s">
        <v>2096</v>
      </c>
      <c r="I125" t="s">
        <v>2102</v>
      </c>
      <c r="J125">
        <v>3938</v>
      </c>
      <c r="K125">
        <v>37.5</v>
      </c>
      <c r="L125">
        <v>3.4</v>
      </c>
      <c r="M125">
        <v>18.68</v>
      </c>
      <c r="N125">
        <v>4</v>
      </c>
      <c r="O125">
        <v>7</v>
      </c>
      <c r="P125">
        <v>523.04</v>
      </c>
      <c r="Q125">
        <v>3.44</v>
      </c>
      <c r="R125">
        <v>519.6</v>
      </c>
      <c r="AC125" s="1">
        <v>40449</v>
      </c>
    </row>
    <row r="126" spans="1:29" x14ac:dyDescent="0.25">
      <c r="A126" t="s">
        <v>467</v>
      </c>
      <c r="D126" t="s">
        <v>1465</v>
      </c>
      <c r="E126" t="s">
        <v>2008</v>
      </c>
      <c r="F126" t="s">
        <v>2078</v>
      </c>
      <c r="G126" t="s">
        <v>2091</v>
      </c>
      <c r="H126" t="s">
        <v>2094</v>
      </c>
      <c r="I126" t="s">
        <v>2107</v>
      </c>
      <c r="J126">
        <v>4898</v>
      </c>
      <c r="K126">
        <v>19.329999999999998</v>
      </c>
      <c r="L126">
        <v>1.4</v>
      </c>
      <c r="M126">
        <v>20.92</v>
      </c>
      <c r="N126">
        <v>1</v>
      </c>
      <c r="O126">
        <v>8</v>
      </c>
      <c r="P126">
        <v>167.36</v>
      </c>
      <c r="Q126">
        <v>5.13</v>
      </c>
      <c r="R126">
        <v>162.22999999999999</v>
      </c>
      <c r="AC126" s="1">
        <v>40465</v>
      </c>
    </row>
    <row r="127" spans="1:29" x14ac:dyDescent="0.25">
      <c r="A127" t="s">
        <v>628</v>
      </c>
      <c r="D127" t="s">
        <v>1613</v>
      </c>
      <c r="E127" t="s">
        <v>2005</v>
      </c>
      <c r="F127" t="s">
        <v>2074</v>
      </c>
      <c r="G127" t="s">
        <v>2091</v>
      </c>
      <c r="H127" t="s">
        <v>2095</v>
      </c>
      <c r="I127" t="s">
        <v>2108</v>
      </c>
      <c r="J127">
        <v>2962</v>
      </c>
      <c r="K127">
        <v>8.57</v>
      </c>
      <c r="L127">
        <v>3.6</v>
      </c>
      <c r="M127">
        <v>21.56</v>
      </c>
      <c r="N127">
        <v>3</v>
      </c>
      <c r="O127">
        <v>20</v>
      </c>
      <c r="P127">
        <v>1293.5999999999999</v>
      </c>
      <c r="Q127">
        <v>4.1900000000000004</v>
      </c>
      <c r="R127">
        <v>1289.4100000000001</v>
      </c>
      <c r="AC127" s="1">
        <v>40597</v>
      </c>
    </row>
    <row r="128" spans="1:29" x14ac:dyDescent="0.25">
      <c r="A128" t="s">
        <v>694</v>
      </c>
      <c r="D128" t="s">
        <v>1457</v>
      </c>
      <c r="E128" t="s">
        <v>2017</v>
      </c>
      <c r="F128" t="s">
        <v>2074</v>
      </c>
      <c r="G128" t="s">
        <v>2091</v>
      </c>
      <c r="H128" t="s">
        <v>2095</v>
      </c>
      <c r="I128" t="s">
        <v>2097</v>
      </c>
      <c r="J128">
        <v>4925</v>
      </c>
      <c r="K128">
        <v>44.32</v>
      </c>
      <c r="L128">
        <v>4.0999999999999996</v>
      </c>
      <c r="M128">
        <v>21.8</v>
      </c>
      <c r="N128">
        <v>2</v>
      </c>
      <c r="O128">
        <v>20</v>
      </c>
      <c r="P128">
        <v>872</v>
      </c>
      <c r="Q128">
        <v>0.35</v>
      </c>
      <c r="R128">
        <v>871.65</v>
      </c>
      <c r="AC128" s="1">
        <v>43071</v>
      </c>
    </row>
    <row r="129" spans="1:29" x14ac:dyDescent="0.25">
      <c r="A129" t="s">
        <v>765</v>
      </c>
      <c r="D129" t="s">
        <v>1741</v>
      </c>
      <c r="E129" t="s">
        <v>2016</v>
      </c>
      <c r="F129" t="s">
        <v>2082</v>
      </c>
      <c r="G129" t="s">
        <v>2091</v>
      </c>
      <c r="H129" t="s">
        <v>2094</v>
      </c>
      <c r="I129" t="s">
        <v>2101</v>
      </c>
      <c r="J129">
        <v>363</v>
      </c>
      <c r="K129">
        <v>17.36</v>
      </c>
      <c r="L129">
        <v>2.2000000000000002</v>
      </c>
      <c r="M129">
        <v>33.96</v>
      </c>
      <c r="N129">
        <v>1</v>
      </c>
      <c r="O129">
        <v>6</v>
      </c>
      <c r="P129">
        <v>203.76</v>
      </c>
      <c r="Q129">
        <v>3.36</v>
      </c>
      <c r="R129">
        <v>200.4</v>
      </c>
      <c r="AC129" s="1">
        <v>41105</v>
      </c>
    </row>
    <row r="130" spans="1:29" x14ac:dyDescent="0.25">
      <c r="A130" t="s">
        <v>850</v>
      </c>
      <c r="D130" t="s">
        <v>1818</v>
      </c>
      <c r="E130" t="s">
        <v>2056</v>
      </c>
      <c r="F130" t="s">
        <v>2077</v>
      </c>
      <c r="G130" t="s">
        <v>2091</v>
      </c>
      <c r="H130" t="s">
        <v>2096</v>
      </c>
      <c r="I130" t="s">
        <v>2110</v>
      </c>
      <c r="J130">
        <v>3834</v>
      </c>
      <c r="K130">
        <v>10.58</v>
      </c>
      <c r="L130">
        <v>3.8</v>
      </c>
      <c r="M130">
        <v>32.31</v>
      </c>
      <c r="N130">
        <v>5</v>
      </c>
      <c r="O130">
        <v>15</v>
      </c>
      <c r="P130">
        <v>2423.25</v>
      </c>
      <c r="Q130">
        <v>5.35</v>
      </c>
      <c r="R130">
        <v>2417.9</v>
      </c>
      <c r="AC130" s="1">
        <v>41039</v>
      </c>
    </row>
    <row r="131" spans="1:29" x14ac:dyDescent="0.25">
      <c r="A131" t="s">
        <v>852</v>
      </c>
      <c r="D131" t="s">
        <v>1820</v>
      </c>
      <c r="E131" t="s">
        <v>2062</v>
      </c>
      <c r="F131" t="s">
        <v>2075</v>
      </c>
      <c r="G131" t="s">
        <v>2091</v>
      </c>
      <c r="H131" t="s">
        <v>2096</v>
      </c>
      <c r="I131" t="s">
        <v>2106</v>
      </c>
      <c r="J131">
        <v>1277</v>
      </c>
      <c r="K131">
        <v>14.92</v>
      </c>
      <c r="L131">
        <v>1.3</v>
      </c>
      <c r="M131">
        <v>38.729999999999997</v>
      </c>
      <c r="N131">
        <v>1</v>
      </c>
      <c r="O131">
        <v>13</v>
      </c>
      <c r="P131">
        <v>503.48999999999995</v>
      </c>
      <c r="Q131">
        <v>7.29</v>
      </c>
      <c r="R131">
        <v>496.2</v>
      </c>
      <c r="AC131" s="1">
        <v>41363</v>
      </c>
    </row>
    <row r="132" spans="1:29" x14ac:dyDescent="0.25">
      <c r="A132" t="s">
        <v>887</v>
      </c>
      <c r="D132" t="s">
        <v>1853</v>
      </c>
      <c r="E132" t="s">
        <v>2049</v>
      </c>
      <c r="F132" t="s">
        <v>2075</v>
      </c>
      <c r="G132" t="s">
        <v>2091</v>
      </c>
      <c r="H132" t="s">
        <v>2095</v>
      </c>
      <c r="I132" t="s">
        <v>2104</v>
      </c>
      <c r="J132">
        <v>1749</v>
      </c>
      <c r="K132">
        <v>21.97</v>
      </c>
      <c r="L132">
        <v>4.5</v>
      </c>
      <c r="M132">
        <v>22.45</v>
      </c>
      <c r="N132">
        <v>1</v>
      </c>
      <c r="O132">
        <v>4</v>
      </c>
      <c r="P132">
        <v>89.8</v>
      </c>
      <c r="Q132">
        <v>2.4900000000000002</v>
      </c>
      <c r="R132">
        <v>87.31</v>
      </c>
      <c r="AC132" s="1">
        <v>42737</v>
      </c>
    </row>
    <row r="133" spans="1:29" x14ac:dyDescent="0.25">
      <c r="A133" t="s">
        <v>935</v>
      </c>
      <c r="D133" t="s">
        <v>1900</v>
      </c>
      <c r="E133" t="s">
        <v>2035</v>
      </c>
      <c r="F133" t="s">
        <v>2076</v>
      </c>
      <c r="G133" t="s">
        <v>2091</v>
      </c>
      <c r="H133" t="s">
        <v>2096</v>
      </c>
      <c r="I133" t="s">
        <v>2101</v>
      </c>
      <c r="J133">
        <v>2894</v>
      </c>
      <c r="K133">
        <v>17.89</v>
      </c>
      <c r="L133">
        <v>1</v>
      </c>
      <c r="M133">
        <v>32.340000000000003</v>
      </c>
      <c r="N133">
        <v>2</v>
      </c>
      <c r="O133">
        <v>13</v>
      </c>
      <c r="P133">
        <v>840.84000000000015</v>
      </c>
      <c r="Q133">
        <v>0.99</v>
      </c>
      <c r="R133">
        <v>839.85</v>
      </c>
      <c r="AC133" s="1">
        <v>42649</v>
      </c>
    </row>
    <row r="134" spans="1:29" ht="18.75" x14ac:dyDescent="0.3">
      <c r="A134" t="s">
        <v>1010</v>
      </c>
      <c r="D134" t="s">
        <v>1967</v>
      </c>
      <c r="E134" t="s">
        <v>2071</v>
      </c>
      <c r="F134" t="s">
        <v>2079</v>
      </c>
      <c r="G134" t="s">
        <v>2091</v>
      </c>
      <c r="H134" t="s">
        <v>2092</v>
      </c>
      <c r="I134" t="s">
        <v>2110</v>
      </c>
      <c r="J134">
        <v>4831</v>
      </c>
      <c r="K134">
        <v>30.18</v>
      </c>
      <c r="L134">
        <v>2.6</v>
      </c>
      <c r="M134">
        <v>13.42</v>
      </c>
      <c r="N134">
        <v>2</v>
      </c>
      <c r="O134">
        <v>2</v>
      </c>
      <c r="P134">
        <v>53.68</v>
      </c>
      <c r="Q134">
        <v>7.43</v>
      </c>
      <c r="R134">
        <v>46.25</v>
      </c>
      <c r="U134" s="16" t="s">
        <v>2138</v>
      </c>
      <c r="AC134" s="1">
        <v>40313</v>
      </c>
    </row>
    <row r="135" spans="1:29" x14ac:dyDescent="0.25">
      <c r="A135" t="s">
        <v>108</v>
      </c>
      <c r="D135" t="s">
        <v>1118</v>
      </c>
      <c r="E135" t="s">
        <v>2026</v>
      </c>
      <c r="F135" t="s">
        <v>2081</v>
      </c>
      <c r="G135" t="s">
        <v>2086</v>
      </c>
      <c r="H135" t="s">
        <v>2096</v>
      </c>
      <c r="I135" t="s">
        <v>2105</v>
      </c>
      <c r="J135">
        <v>1247</v>
      </c>
      <c r="K135">
        <v>23.13</v>
      </c>
      <c r="L135">
        <v>4</v>
      </c>
      <c r="M135">
        <v>10.85</v>
      </c>
      <c r="N135">
        <v>3</v>
      </c>
      <c r="O135">
        <v>18</v>
      </c>
      <c r="P135">
        <v>585.9</v>
      </c>
      <c r="Q135">
        <v>3.02</v>
      </c>
      <c r="R135">
        <v>582.88</v>
      </c>
      <c r="AC135" s="1">
        <v>40780</v>
      </c>
    </row>
    <row r="136" spans="1:29" x14ac:dyDescent="0.25">
      <c r="A136" t="s">
        <v>125</v>
      </c>
      <c r="D136" t="s">
        <v>1135</v>
      </c>
      <c r="E136" t="s">
        <v>2035</v>
      </c>
      <c r="F136" t="s">
        <v>2073</v>
      </c>
      <c r="G136" t="s">
        <v>2086</v>
      </c>
      <c r="H136" t="s">
        <v>2095</v>
      </c>
      <c r="I136" t="s">
        <v>2106</v>
      </c>
      <c r="J136">
        <v>3478</v>
      </c>
      <c r="K136">
        <v>20.38</v>
      </c>
      <c r="L136">
        <v>3</v>
      </c>
      <c r="M136">
        <v>36.729999999999997</v>
      </c>
      <c r="N136">
        <v>5</v>
      </c>
      <c r="O136">
        <v>20</v>
      </c>
      <c r="P136">
        <v>3672.9999999999995</v>
      </c>
      <c r="Q136">
        <v>8.0500000000000007</v>
      </c>
      <c r="R136">
        <v>3664.95</v>
      </c>
      <c r="AC136" s="1">
        <v>41975</v>
      </c>
    </row>
    <row r="137" spans="1:29" x14ac:dyDescent="0.25">
      <c r="A137" t="s">
        <v>132</v>
      </c>
      <c r="D137" t="s">
        <v>1142</v>
      </c>
      <c r="E137" t="s">
        <v>2011</v>
      </c>
      <c r="F137" t="s">
        <v>2073</v>
      </c>
      <c r="G137" t="s">
        <v>2086</v>
      </c>
      <c r="H137" t="s">
        <v>2093</v>
      </c>
      <c r="I137" t="s">
        <v>2098</v>
      </c>
      <c r="J137">
        <v>4251</v>
      </c>
      <c r="K137">
        <v>13.48</v>
      </c>
      <c r="L137">
        <v>2.2999999999999998</v>
      </c>
      <c r="M137">
        <v>22.3</v>
      </c>
      <c r="N137">
        <v>3</v>
      </c>
      <c r="O137">
        <v>1</v>
      </c>
      <c r="P137">
        <v>66.900000000000006</v>
      </c>
      <c r="Q137">
        <v>1.6</v>
      </c>
      <c r="R137">
        <v>65.3</v>
      </c>
      <c r="AC137" s="1">
        <v>41574</v>
      </c>
    </row>
    <row r="138" spans="1:29" x14ac:dyDescent="0.25">
      <c r="A138" t="s">
        <v>192</v>
      </c>
      <c r="D138" t="s">
        <v>1201</v>
      </c>
      <c r="E138" t="s">
        <v>1978</v>
      </c>
      <c r="F138" t="s">
        <v>2079</v>
      </c>
      <c r="G138" t="s">
        <v>2086</v>
      </c>
      <c r="H138" t="s">
        <v>2092</v>
      </c>
      <c r="I138" t="s">
        <v>2110</v>
      </c>
      <c r="J138">
        <v>4314</v>
      </c>
      <c r="K138">
        <v>17.89</v>
      </c>
      <c r="L138">
        <v>2.4</v>
      </c>
      <c r="M138">
        <v>24.07</v>
      </c>
      <c r="N138">
        <v>2</v>
      </c>
      <c r="O138">
        <v>17</v>
      </c>
      <c r="P138">
        <v>818.38</v>
      </c>
      <c r="Q138">
        <v>6.31</v>
      </c>
      <c r="R138">
        <v>812.07</v>
      </c>
      <c r="U138">
        <f>SUM(R:R)</f>
        <v>730400.74</v>
      </c>
      <c r="AC138" s="1">
        <v>42559</v>
      </c>
    </row>
    <row r="139" spans="1:29" x14ac:dyDescent="0.25">
      <c r="A139" t="s">
        <v>223</v>
      </c>
      <c r="D139" t="s">
        <v>1232</v>
      </c>
      <c r="E139" t="s">
        <v>2042</v>
      </c>
      <c r="F139" t="s">
        <v>2077</v>
      </c>
      <c r="G139" t="s">
        <v>2086</v>
      </c>
      <c r="H139" t="s">
        <v>2095</v>
      </c>
      <c r="I139" t="s">
        <v>2104</v>
      </c>
      <c r="J139">
        <v>2116</v>
      </c>
      <c r="K139">
        <v>44.49</v>
      </c>
      <c r="L139">
        <v>4.7</v>
      </c>
      <c r="M139">
        <v>7.38</v>
      </c>
      <c r="N139">
        <v>5</v>
      </c>
      <c r="O139">
        <v>2</v>
      </c>
      <c r="P139">
        <v>73.8</v>
      </c>
      <c r="Q139">
        <v>7.19</v>
      </c>
      <c r="R139">
        <v>66.61</v>
      </c>
      <c r="AC139" s="1">
        <v>43296</v>
      </c>
    </row>
    <row r="140" spans="1:29" x14ac:dyDescent="0.25">
      <c r="A140" t="s">
        <v>270</v>
      </c>
      <c r="D140" t="s">
        <v>1276</v>
      </c>
      <c r="E140" t="s">
        <v>2040</v>
      </c>
      <c r="F140" t="s">
        <v>2073</v>
      </c>
      <c r="G140" t="s">
        <v>2086</v>
      </c>
      <c r="H140" t="s">
        <v>2092</v>
      </c>
      <c r="I140" t="s">
        <v>2109</v>
      </c>
      <c r="J140">
        <v>2944</v>
      </c>
      <c r="K140">
        <v>41.42</v>
      </c>
      <c r="L140">
        <v>4.9000000000000004</v>
      </c>
      <c r="M140">
        <v>31.37</v>
      </c>
      <c r="N140">
        <v>3</v>
      </c>
      <c r="O140">
        <v>4</v>
      </c>
      <c r="P140">
        <v>376.44</v>
      </c>
      <c r="Q140">
        <v>9.41</v>
      </c>
      <c r="R140">
        <v>367.03</v>
      </c>
      <c r="AC140" s="1">
        <v>42271</v>
      </c>
    </row>
    <row r="141" spans="1:29" x14ac:dyDescent="0.25">
      <c r="A141" t="s">
        <v>282</v>
      </c>
      <c r="D141" t="s">
        <v>1287</v>
      </c>
      <c r="E141" t="s">
        <v>2052</v>
      </c>
      <c r="F141" t="s">
        <v>2078</v>
      </c>
      <c r="G141" t="s">
        <v>2086</v>
      </c>
      <c r="H141" t="s">
        <v>2092</v>
      </c>
      <c r="I141" t="s">
        <v>2102</v>
      </c>
      <c r="J141">
        <v>3715</v>
      </c>
      <c r="K141">
        <v>44.73</v>
      </c>
      <c r="L141">
        <v>4.5</v>
      </c>
      <c r="M141">
        <v>5.64</v>
      </c>
      <c r="N141">
        <v>4</v>
      </c>
      <c r="O141">
        <v>9</v>
      </c>
      <c r="P141">
        <v>203.04</v>
      </c>
      <c r="Q141">
        <v>4.54</v>
      </c>
      <c r="R141">
        <v>198.5</v>
      </c>
      <c r="AC141" s="1">
        <v>43383</v>
      </c>
    </row>
    <row r="142" spans="1:29" x14ac:dyDescent="0.25">
      <c r="A142" t="s">
        <v>400</v>
      </c>
      <c r="D142" t="s">
        <v>1400</v>
      </c>
      <c r="E142" t="s">
        <v>2055</v>
      </c>
      <c r="F142" t="s">
        <v>2079</v>
      </c>
      <c r="G142" t="s">
        <v>2086</v>
      </c>
      <c r="H142" t="s">
        <v>2095</v>
      </c>
      <c r="I142" t="s">
        <v>2105</v>
      </c>
      <c r="J142">
        <v>1288</v>
      </c>
      <c r="K142">
        <v>13.72</v>
      </c>
      <c r="L142">
        <v>3.7</v>
      </c>
      <c r="M142">
        <v>5.23</v>
      </c>
      <c r="N142">
        <v>2</v>
      </c>
      <c r="O142">
        <v>7</v>
      </c>
      <c r="P142">
        <v>73.22</v>
      </c>
      <c r="Q142">
        <v>9.52</v>
      </c>
      <c r="R142">
        <v>63.7</v>
      </c>
      <c r="AC142" s="1">
        <v>41813</v>
      </c>
    </row>
    <row r="143" spans="1:29" x14ac:dyDescent="0.25">
      <c r="A143" t="s">
        <v>431</v>
      </c>
      <c r="D143" t="s">
        <v>1429</v>
      </c>
      <c r="E143" t="s">
        <v>1988</v>
      </c>
      <c r="F143" t="s">
        <v>2076</v>
      </c>
      <c r="G143" t="s">
        <v>2086</v>
      </c>
      <c r="H143" t="s">
        <v>2095</v>
      </c>
      <c r="I143" t="s">
        <v>2111</v>
      </c>
      <c r="J143">
        <v>2379</v>
      </c>
      <c r="K143">
        <v>23.84</v>
      </c>
      <c r="L143">
        <v>4.4000000000000004</v>
      </c>
      <c r="M143">
        <v>14.73</v>
      </c>
      <c r="N143">
        <v>2</v>
      </c>
      <c r="O143">
        <v>16</v>
      </c>
      <c r="P143">
        <v>471.36</v>
      </c>
      <c r="Q143">
        <v>2.83</v>
      </c>
      <c r="R143">
        <v>468.53</v>
      </c>
      <c r="AC143" s="1">
        <v>40860</v>
      </c>
    </row>
    <row r="144" spans="1:29" x14ac:dyDescent="0.25">
      <c r="A144" t="s">
        <v>543</v>
      </c>
      <c r="D144" t="s">
        <v>1537</v>
      </c>
      <c r="E144" t="s">
        <v>2027</v>
      </c>
      <c r="F144" t="s">
        <v>2074</v>
      </c>
      <c r="G144" t="s">
        <v>2086</v>
      </c>
      <c r="H144" t="s">
        <v>2095</v>
      </c>
      <c r="I144" t="s">
        <v>2102</v>
      </c>
      <c r="J144">
        <v>4115</v>
      </c>
      <c r="K144">
        <v>31.73</v>
      </c>
      <c r="L144">
        <v>2</v>
      </c>
      <c r="M144">
        <v>17.059999999999999</v>
      </c>
      <c r="N144">
        <v>3</v>
      </c>
      <c r="O144">
        <v>13</v>
      </c>
      <c r="P144">
        <v>665.33999999999992</v>
      </c>
      <c r="Q144">
        <v>8.44</v>
      </c>
      <c r="R144">
        <v>656.9</v>
      </c>
      <c r="AC144" s="1">
        <v>41805</v>
      </c>
    </row>
    <row r="145" spans="1:29" x14ac:dyDescent="0.25">
      <c r="A145" t="s">
        <v>636</v>
      </c>
      <c r="D145" t="s">
        <v>1621</v>
      </c>
      <c r="E145" t="s">
        <v>1986</v>
      </c>
      <c r="F145" t="s">
        <v>2074</v>
      </c>
      <c r="G145" t="s">
        <v>2086</v>
      </c>
      <c r="H145" t="s">
        <v>2096</v>
      </c>
      <c r="I145" t="s">
        <v>2110</v>
      </c>
      <c r="J145">
        <v>3122</v>
      </c>
      <c r="K145">
        <v>34.340000000000003</v>
      </c>
      <c r="L145">
        <v>3.1</v>
      </c>
      <c r="M145">
        <v>16.149999999999999</v>
      </c>
      <c r="N145">
        <v>2</v>
      </c>
      <c r="O145">
        <v>14</v>
      </c>
      <c r="P145">
        <v>452.19999999999993</v>
      </c>
      <c r="Q145">
        <v>7.74</v>
      </c>
      <c r="R145">
        <v>444.46</v>
      </c>
      <c r="AC145" s="1">
        <v>41789</v>
      </c>
    </row>
    <row r="146" spans="1:29" x14ac:dyDescent="0.25">
      <c r="A146" t="s">
        <v>932</v>
      </c>
      <c r="D146" t="s">
        <v>1897</v>
      </c>
      <c r="E146" t="s">
        <v>2071</v>
      </c>
      <c r="F146" t="s">
        <v>2082</v>
      </c>
      <c r="G146" t="s">
        <v>2086</v>
      </c>
      <c r="H146" t="s">
        <v>2096</v>
      </c>
      <c r="I146" t="s">
        <v>2101</v>
      </c>
      <c r="J146">
        <v>181</v>
      </c>
      <c r="K146">
        <v>12.13</v>
      </c>
      <c r="L146">
        <v>4.2</v>
      </c>
      <c r="M146">
        <v>22.71</v>
      </c>
      <c r="N146">
        <v>4</v>
      </c>
      <c r="O146">
        <v>13</v>
      </c>
      <c r="P146">
        <v>1180.92</v>
      </c>
      <c r="Q146">
        <v>0.84</v>
      </c>
      <c r="R146">
        <v>1180.08</v>
      </c>
      <c r="AC146" s="1">
        <v>40823</v>
      </c>
    </row>
    <row r="147" spans="1:29" x14ac:dyDescent="0.25">
      <c r="A147" t="s">
        <v>962</v>
      </c>
      <c r="D147" t="s">
        <v>1923</v>
      </c>
      <c r="E147" t="s">
        <v>1978</v>
      </c>
      <c r="F147" t="s">
        <v>2079</v>
      </c>
      <c r="G147" t="s">
        <v>2086</v>
      </c>
      <c r="H147" t="s">
        <v>2092</v>
      </c>
      <c r="I147" t="s">
        <v>2104</v>
      </c>
      <c r="J147">
        <v>4501</v>
      </c>
      <c r="K147">
        <v>39.81</v>
      </c>
      <c r="L147">
        <v>1.7</v>
      </c>
      <c r="M147">
        <v>20.22</v>
      </c>
      <c r="N147">
        <v>4</v>
      </c>
      <c r="O147">
        <v>11</v>
      </c>
      <c r="P147">
        <v>889.68</v>
      </c>
      <c r="Q147">
        <v>8.93</v>
      </c>
      <c r="R147">
        <v>880.75</v>
      </c>
      <c r="AC147" s="1">
        <v>43117</v>
      </c>
    </row>
    <row r="148" spans="1:29" x14ac:dyDescent="0.25">
      <c r="A148" t="s">
        <v>985</v>
      </c>
      <c r="D148" t="s">
        <v>1944</v>
      </c>
      <c r="E148" t="s">
        <v>2020</v>
      </c>
      <c r="F148" t="s">
        <v>2074</v>
      </c>
      <c r="G148" t="s">
        <v>2086</v>
      </c>
      <c r="H148" t="s">
        <v>2094</v>
      </c>
      <c r="I148" t="s">
        <v>2105</v>
      </c>
      <c r="J148">
        <v>4509</v>
      </c>
      <c r="K148">
        <v>45.71</v>
      </c>
      <c r="L148">
        <v>4.7</v>
      </c>
      <c r="M148">
        <v>13.32</v>
      </c>
      <c r="N148">
        <v>5</v>
      </c>
      <c r="O148">
        <v>17</v>
      </c>
      <c r="P148">
        <v>1132.1999999999998</v>
      </c>
      <c r="Q148">
        <v>9.91</v>
      </c>
      <c r="R148">
        <v>1122.29</v>
      </c>
      <c r="AC148" s="1">
        <v>42715</v>
      </c>
    </row>
    <row r="149" spans="1:29" x14ac:dyDescent="0.25">
      <c r="A149" t="s">
        <v>1014</v>
      </c>
      <c r="D149" t="s">
        <v>1971</v>
      </c>
      <c r="E149" t="s">
        <v>2059</v>
      </c>
      <c r="F149" t="s">
        <v>2077</v>
      </c>
      <c r="G149" t="s">
        <v>2086</v>
      </c>
      <c r="H149" t="s">
        <v>2093</v>
      </c>
      <c r="I149" t="s">
        <v>2106</v>
      </c>
      <c r="J149">
        <v>4771</v>
      </c>
      <c r="K149">
        <v>32.090000000000003</v>
      </c>
      <c r="L149">
        <v>2.6</v>
      </c>
      <c r="M149">
        <v>24.88</v>
      </c>
      <c r="N149">
        <v>1</v>
      </c>
      <c r="O149">
        <v>10</v>
      </c>
      <c r="P149">
        <v>248.79999999999998</v>
      </c>
      <c r="Q149">
        <v>4.47</v>
      </c>
      <c r="R149">
        <v>244.33</v>
      </c>
      <c r="AC149" s="1">
        <v>43304</v>
      </c>
    </row>
    <row r="150" spans="1:29" ht="18.75" x14ac:dyDescent="0.3">
      <c r="A150" t="s">
        <v>66</v>
      </c>
      <c r="D150" t="s">
        <v>1076</v>
      </c>
      <c r="E150" t="s">
        <v>1974</v>
      </c>
      <c r="F150" t="s">
        <v>2079</v>
      </c>
      <c r="G150" t="s">
        <v>2089</v>
      </c>
      <c r="H150" t="s">
        <v>2094</v>
      </c>
      <c r="I150" t="s">
        <v>2105</v>
      </c>
      <c r="J150">
        <v>386</v>
      </c>
      <c r="K150">
        <v>45.53</v>
      </c>
      <c r="L150">
        <v>1.7</v>
      </c>
      <c r="M150">
        <v>24.09</v>
      </c>
      <c r="N150">
        <v>3</v>
      </c>
      <c r="O150">
        <v>13</v>
      </c>
      <c r="P150">
        <v>939.51</v>
      </c>
      <c r="Q150">
        <v>4.4000000000000004</v>
      </c>
      <c r="R150">
        <v>935.11</v>
      </c>
      <c r="U150" s="16" t="s">
        <v>2143</v>
      </c>
      <c r="AC150" s="1">
        <v>41476</v>
      </c>
    </row>
    <row r="151" spans="1:29" x14ac:dyDescent="0.25">
      <c r="A151" t="s">
        <v>106</v>
      </c>
      <c r="D151" t="s">
        <v>1116</v>
      </c>
      <c r="E151" t="s">
        <v>1981</v>
      </c>
      <c r="F151" t="s">
        <v>2081</v>
      </c>
      <c r="G151" t="s">
        <v>2089</v>
      </c>
      <c r="H151" t="s">
        <v>2093</v>
      </c>
      <c r="I151" t="s">
        <v>2103</v>
      </c>
      <c r="J151">
        <v>2570</v>
      </c>
      <c r="K151">
        <v>14.33</v>
      </c>
      <c r="L151">
        <v>3.2</v>
      </c>
      <c r="M151">
        <v>38.74</v>
      </c>
      <c r="N151">
        <v>4</v>
      </c>
      <c r="O151">
        <v>10</v>
      </c>
      <c r="P151">
        <v>1549.6000000000001</v>
      </c>
      <c r="Q151">
        <v>7.97</v>
      </c>
      <c r="R151">
        <v>1541.63</v>
      </c>
      <c r="AC151" s="1">
        <v>42703</v>
      </c>
    </row>
    <row r="152" spans="1:29" x14ac:dyDescent="0.25">
      <c r="A152" t="s">
        <v>288</v>
      </c>
      <c r="D152" t="s">
        <v>1293</v>
      </c>
      <c r="E152" t="s">
        <v>1975</v>
      </c>
      <c r="F152" t="s">
        <v>2073</v>
      </c>
      <c r="G152" t="s">
        <v>2089</v>
      </c>
      <c r="H152" t="s">
        <v>2096</v>
      </c>
      <c r="I152" t="s">
        <v>2108</v>
      </c>
      <c r="J152">
        <v>1262</v>
      </c>
      <c r="K152">
        <v>5.59</v>
      </c>
      <c r="L152">
        <v>3.2</v>
      </c>
      <c r="M152">
        <v>21.63</v>
      </c>
      <c r="N152">
        <v>3</v>
      </c>
      <c r="O152">
        <v>18</v>
      </c>
      <c r="P152">
        <v>1168.02</v>
      </c>
      <c r="Q152">
        <v>4.04</v>
      </c>
      <c r="R152">
        <v>1163.98</v>
      </c>
      <c r="AC152" s="1">
        <v>41118</v>
      </c>
    </row>
    <row r="153" spans="1:29" x14ac:dyDescent="0.25">
      <c r="A153" t="s">
        <v>521</v>
      </c>
      <c r="D153" t="s">
        <v>1516</v>
      </c>
      <c r="E153" t="s">
        <v>2060</v>
      </c>
      <c r="F153" t="s">
        <v>2076</v>
      </c>
      <c r="G153" t="s">
        <v>2089</v>
      </c>
      <c r="H153" t="s">
        <v>2095</v>
      </c>
      <c r="I153" t="s">
        <v>2102</v>
      </c>
      <c r="J153">
        <v>4832</v>
      </c>
      <c r="K153">
        <v>6.54</v>
      </c>
      <c r="L153">
        <v>3.3</v>
      </c>
      <c r="M153">
        <v>31.1</v>
      </c>
      <c r="N153">
        <v>5</v>
      </c>
      <c r="O153">
        <v>13</v>
      </c>
      <c r="P153">
        <v>2021.5</v>
      </c>
      <c r="Q153">
        <v>0.67</v>
      </c>
      <c r="R153">
        <v>2020.83</v>
      </c>
      <c r="AC153" s="1">
        <v>42907</v>
      </c>
    </row>
    <row r="154" spans="1:29" x14ac:dyDescent="0.25">
      <c r="A154" t="s">
        <v>606</v>
      </c>
      <c r="D154" t="s">
        <v>1593</v>
      </c>
      <c r="E154" t="s">
        <v>2031</v>
      </c>
      <c r="F154" t="s">
        <v>2082</v>
      </c>
      <c r="G154" t="s">
        <v>2089</v>
      </c>
      <c r="H154" t="s">
        <v>2094</v>
      </c>
      <c r="I154" t="s">
        <v>2106</v>
      </c>
      <c r="J154">
        <v>2554</v>
      </c>
      <c r="K154">
        <v>8.49</v>
      </c>
      <c r="L154">
        <v>3.7</v>
      </c>
      <c r="M154">
        <v>28.48</v>
      </c>
      <c r="N154">
        <v>1</v>
      </c>
      <c r="O154">
        <v>5</v>
      </c>
      <c r="P154">
        <v>142.4</v>
      </c>
      <c r="Q154">
        <v>3.61</v>
      </c>
      <c r="R154">
        <v>138.79</v>
      </c>
      <c r="AC154" s="1">
        <v>41894</v>
      </c>
    </row>
    <row r="155" spans="1:29" x14ac:dyDescent="0.25">
      <c r="A155" t="s">
        <v>807</v>
      </c>
      <c r="D155" t="s">
        <v>1778</v>
      </c>
      <c r="E155" t="s">
        <v>1985</v>
      </c>
      <c r="F155" t="s">
        <v>2078</v>
      </c>
      <c r="G155" t="s">
        <v>2089</v>
      </c>
      <c r="H155" t="s">
        <v>2093</v>
      </c>
      <c r="I155" t="s">
        <v>2102</v>
      </c>
      <c r="J155">
        <v>2444</v>
      </c>
      <c r="K155">
        <v>12.65</v>
      </c>
      <c r="L155">
        <v>1.7</v>
      </c>
      <c r="M155">
        <v>21.71</v>
      </c>
      <c r="N155">
        <v>3</v>
      </c>
      <c r="O155">
        <v>4</v>
      </c>
      <c r="P155">
        <v>260.52</v>
      </c>
      <c r="Q155">
        <v>7.04</v>
      </c>
      <c r="R155">
        <v>253.48</v>
      </c>
      <c r="AC155" s="1">
        <v>42331</v>
      </c>
    </row>
    <row r="156" spans="1:29" x14ac:dyDescent="0.25">
      <c r="A156" t="s">
        <v>980</v>
      </c>
      <c r="D156" t="s">
        <v>1939</v>
      </c>
      <c r="E156" t="s">
        <v>1996</v>
      </c>
      <c r="F156" t="s">
        <v>2081</v>
      </c>
      <c r="G156" t="s">
        <v>2089</v>
      </c>
      <c r="H156" t="s">
        <v>2096</v>
      </c>
      <c r="I156" t="s">
        <v>2099</v>
      </c>
      <c r="J156">
        <v>76</v>
      </c>
      <c r="K156">
        <v>20.05</v>
      </c>
      <c r="L156">
        <v>4</v>
      </c>
      <c r="M156">
        <v>32.71</v>
      </c>
      <c r="N156">
        <v>2</v>
      </c>
      <c r="O156">
        <v>19</v>
      </c>
      <c r="P156">
        <v>1242.98</v>
      </c>
      <c r="Q156">
        <v>1.2</v>
      </c>
      <c r="R156">
        <v>1241.78</v>
      </c>
      <c r="AC156" s="1">
        <v>41539</v>
      </c>
    </row>
    <row r="157" spans="1:29" x14ac:dyDescent="0.25">
      <c r="A157" t="s">
        <v>52</v>
      </c>
      <c r="D157" t="s">
        <v>1062</v>
      </c>
      <c r="E157" t="s">
        <v>2002</v>
      </c>
      <c r="F157" t="s">
        <v>2082</v>
      </c>
      <c r="G157" t="s">
        <v>2084</v>
      </c>
      <c r="H157" t="s">
        <v>2092</v>
      </c>
      <c r="I157" t="s">
        <v>2109</v>
      </c>
      <c r="J157">
        <v>425</v>
      </c>
      <c r="K157">
        <v>37.36</v>
      </c>
      <c r="L157">
        <v>1.9</v>
      </c>
      <c r="M157">
        <v>30.76</v>
      </c>
      <c r="N157">
        <v>2</v>
      </c>
      <c r="O157">
        <v>16</v>
      </c>
      <c r="P157">
        <v>984.32</v>
      </c>
      <c r="Q157">
        <v>5.58</v>
      </c>
      <c r="R157">
        <v>978.74</v>
      </c>
      <c r="AC157" s="1">
        <v>42051</v>
      </c>
    </row>
    <row r="158" spans="1:29" x14ac:dyDescent="0.25">
      <c r="A158" t="s">
        <v>72</v>
      </c>
      <c r="D158" t="s">
        <v>1082</v>
      </c>
      <c r="E158" t="s">
        <v>1975</v>
      </c>
      <c r="F158" t="s">
        <v>2077</v>
      </c>
      <c r="G158" t="s">
        <v>2084</v>
      </c>
      <c r="H158" t="s">
        <v>2096</v>
      </c>
      <c r="I158" t="s">
        <v>2111</v>
      </c>
      <c r="J158">
        <v>1694</v>
      </c>
      <c r="K158">
        <v>15.06</v>
      </c>
      <c r="L158">
        <v>4.4000000000000004</v>
      </c>
      <c r="M158">
        <v>35.479999999999997</v>
      </c>
      <c r="N158">
        <v>5</v>
      </c>
      <c r="O158">
        <v>7</v>
      </c>
      <c r="P158">
        <v>1241.7999999999997</v>
      </c>
      <c r="Q158">
        <v>9.3800000000000008</v>
      </c>
      <c r="R158">
        <v>1232.42</v>
      </c>
      <c r="AC158" s="1">
        <v>42105</v>
      </c>
    </row>
    <row r="159" spans="1:29" x14ac:dyDescent="0.25">
      <c r="A159" t="s">
        <v>102</v>
      </c>
      <c r="D159" t="s">
        <v>1112</v>
      </c>
      <c r="E159" t="s">
        <v>2024</v>
      </c>
      <c r="F159" t="s">
        <v>2075</v>
      </c>
      <c r="G159" t="s">
        <v>2084</v>
      </c>
      <c r="H159" t="s">
        <v>2095</v>
      </c>
      <c r="I159" t="s">
        <v>2111</v>
      </c>
      <c r="J159">
        <v>1771</v>
      </c>
      <c r="K159">
        <v>35.76</v>
      </c>
      <c r="L159">
        <v>4</v>
      </c>
      <c r="M159">
        <v>8.58</v>
      </c>
      <c r="N159">
        <v>1</v>
      </c>
      <c r="O159">
        <v>5</v>
      </c>
      <c r="P159">
        <v>42.9</v>
      </c>
      <c r="Q159">
        <v>4.6100000000000003</v>
      </c>
      <c r="R159">
        <v>38.29</v>
      </c>
      <c r="AC159" s="1">
        <v>42491</v>
      </c>
    </row>
    <row r="160" spans="1:29" x14ac:dyDescent="0.25">
      <c r="A160" t="s">
        <v>299</v>
      </c>
      <c r="D160" t="s">
        <v>1304</v>
      </c>
      <c r="E160" t="s">
        <v>2025</v>
      </c>
      <c r="F160" t="s">
        <v>2081</v>
      </c>
      <c r="G160" t="s">
        <v>2084</v>
      </c>
      <c r="H160" t="s">
        <v>2095</v>
      </c>
      <c r="I160" t="s">
        <v>2104</v>
      </c>
      <c r="J160">
        <v>2531</v>
      </c>
      <c r="K160">
        <v>43.49</v>
      </c>
      <c r="L160">
        <v>4.5999999999999996</v>
      </c>
      <c r="M160">
        <v>27.47</v>
      </c>
      <c r="N160">
        <v>1</v>
      </c>
      <c r="O160">
        <v>9</v>
      </c>
      <c r="P160">
        <v>247.23</v>
      </c>
      <c r="Q160">
        <v>9.34</v>
      </c>
      <c r="R160">
        <v>237.89</v>
      </c>
      <c r="AC160" s="1">
        <v>42886</v>
      </c>
    </row>
    <row r="161" spans="1:29" x14ac:dyDescent="0.25">
      <c r="A161" t="s">
        <v>346</v>
      </c>
      <c r="D161" t="s">
        <v>1349</v>
      </c>
      <c r="E161" t="s">
        <v>2015</v>
      </c>
      <c r="F161" t="s">
        <v>2076</v>
      </c>
      <c r="G161" t="s">
        <v>2084</v>
      </c>
      <c r="H161" t="s">
        <v>2095</v>
      </c>
      <c r="I161" t="s">
        <v>2110</v>
      </c>
      <c r="J161">
        <v>531</v>
      </c>
      <c r="K161">
        <v>33.880000000000003</v>
      </c>
      <c r="L161">
        <v>3.5</v>
      </c>
      <c r="M161">
        <v>25.06</v>
      </c>
      <c r="N161">
        <v>5</v>
      </c>
      <c r="O161">
        <v>2</v>
      </c>
      <c r="P161">
        <v>250.6</v>
      </c>
      <c r="Q161">
        <v>2.2799999999999998</v>
      </c>
      <c r="R161">
        <v>248.32</v>
      </c>
      <c r="AC161" s="1">
        <v>40865</v>
      </c>
    </row>
    <row r="162" spans="1:29" x14ac:dyDescent="0.25">
      <c r="A162" t="s">
        <v>358</v>
      </c>
      <c r="D162" t="s">
        <v>1360</v>
      </c>
      <c r="E162" t="s">
        <v>2035</v>
      </c>
      <c r="F162" t="s">
        <v>2079</v>
      </c>
      <c r="G162" t="s">
        <v>2084</v>
      </c>
      <c r="H162" t="s">
        <v>2095</v>
      </c>
      <c r="I162" t="s">
        <v>2109</v>
      </c>
      <c r="J162">
        <v>2433</v>
      </c>
      <c r="K162">
        <v>14.27</v>
      </c>
      <c r="L162">
        <v>3.3</v>
      </c>
      <c r="M162">
        <v>8.52</v>
      </c>
      <c r="N162">
        <v>3</v>
      </c>
      <c r="O162">
        <v>12</v>
      </c>
      <c r="P162">
        <v>306.71999999999997</v>
      </c>
      <c r="Q162">
        <v>7.24</v>
      </c>
      <c r="R162">
        <v>299.48</v>
      </c>
      <c r="AC162" s="1">
        <v>41001</v>
      </c>
    </row>
    <row r="163" spans="1:29" x14ac:dyDescent="0.25">
      <c r="A163" t="s">
        <v>421</v>
      </c>
      <c r="D163" t="s">
        <v>1420</v>
      </c>
      <c r="E163" t="s">
        <v>2044</v>
      </c>
      <c r="F163" t="s">
        <v>2075</v>
      </c>
      <c r="G163" t="s">
        <v>2084</v>
      </c>
      <c r="H163" t="s">
        <v>2093</v>
      </c>
      <c r="I163" t="s">
        <v>2109</v>
      </c>
      <c r="J163">
        <v>2877</v>
      </c>
      <c r="K163">
        <v>42.55</v>
      </c>
      <c r="L163">
        <v>3.8</v>
      </c>
      <c r="M163">
        <v>13.21</v>
      </c>
      <c r="N163">
        <v>2</v>
      </c>
      <c r="O163">
        <v>15</v>
      </c>
      <c r="P163">
        <v>396.3</v>
      </c>
      <c r="Q163">
        <v>0.97</v>
      </c>
      <c r="R163">
        <v>395.33</v>
      </c>
      <c r="AC163" s="1">
        <v>42342</v>
      </c>
    </row>
    <row r="164" spans="1:29" x14ac:dyDescent="0.25">
      <c r="A164" t="s">
        <v>535</v>
      </c>
      <c r="D164" t="s">
        <v>1492</v>
      </c>
      <c r="E164" t="s">
        <v>2066</v>
      </c>
      <c r="F164" t="s">
        <v>2080</v>
      </c>
      <c r="G164" t="s">
        <v>2084</v>
      </c>
      <c r="H164" t="s">
        <v>2094</v>
      </c>
      <c r="I164" t="s">
        <v>2107</v>
      </c>
      <c r="J164">
        <v>841</v>
      </c>
      <c r="K164">
        <v>45.49</v>
      </c>
      <c r="L164">
        <v>3.5</v>
      </c>
      <c r="M164">
        <v>28.25</v>
      </c>
      <c r="N164">
        <v>3</v>
      </c>
      <c r="O164">
        <v>8</v>
      </c>
      <c r="P164">
        <v>678</v>
      </c>
      <c r="Q164">
        <v>7.04</v>
      </c>
      <c r="R164">
        <v>670.96</v>
      </c>
      <c r="AC164" s="1">
        <v>42028</v>
      </c>
    </row>
    <row r="165" spans="1:29" x14ac:dyDescent="0.25">
      <c r="A165" t="s">
        <v>623</v>
      </c>
      <c r="D165" t="s">
        <v>1608</v>
      </c>
      <c r="E165" t="s">
        <v>2007</v>
      </c>
      <c r="F165" t="s">
        <v>2077</v>
      </c>
      <c r="G165" t="s">
        <v>2084</v>
      </c>
      <c r="H165" t="s">
        <v>2093</v>
      </c>
      <c r="I165" t="s">
        <v>2101</v>
      </c>
      <c r="J165">
        <v>1233</v>
      </c>
      <c r="K165">
        <v>28.42</v>
      </c>
      <c r="L165">
        <v>2.7</v>
      </c>
      <c r="M165">
        <v>21.99</v>
      </c>
      <c r="N165">
        <v>1</v>
      </c>
      <c r="O165">
        <v>14</v>
      </c>
      <c r="P165">
        <v>307.85999999999996</v>
      </c>
      <c r="Q165">
        <v>0.28999999999999998</v>
      </c>
      <c r="R165">
        <v>307.57</v>
      </c>
      <c r="AC165" s="1">
        <v>41103</v>
      </c>
    </row>
    <row r="166" spans="1:29" x14ac:dyDescent="0.25">
      <c r="A166" t="s">
        <v>669</v>
      </c>
      <c r="D166" t="s">
        <v>1174</v>
      </c>
      <c r="E166" t="s">
        <v>1974</v>
      </c>
      <c r="F166" t="s">
        <v>2076</v>
      </c>
      <c r="G166" t="s">
        <v>2084</v>
      </c>
      <c r="H166" t="s">
        <v>2095</v>
      </c>
      <c r="I166" t="s">
        <v>2110</v>
      </c>
      <c r="J166">
        <v>531</v>
      </c>
      <c r="K166">
        <v>49.96</v>
      </c>
      <c r="L166">
        <v>3.6</v>
      </c>
      <c r="M166">
        <v>22.69</v>
      </c>
      <c r="N166">
        <v>4</v>
      </c>
      <c r="O166">
        <v>12</v>
      </c>
      <c r="P166">
        <v>1089.1200000000001</v>
      </c>
      <c r="Q166">
        <v>0.77</v>
      </c>
      <c r="R166">
        <v>1088.3499999999999</v>
      </c>
      <c r="AC166" s="1">
        <v>41720</v>
      </c>
    </row>
    <row r="167" spans="1:29" x14ac:dyDescent="0.25">
      <c r="A167" t="s">
        <v>810</v>
      </c>
      <c r="D167" t="s">
        <v>1781</v>
      </c>
      <c r="E167" t="s">
        <v>1997</v>
      </c>
      <c r="F167" t="s">
        <v>2077</v>
      </c>
      <c r="G167" t="s">
        <v>2084</v>
      </c>
      <c r="H167" t="s">
        <v>2095</v>
      </c>
      <c r="I167" t="s">
        <v>2109</v>
      </c>
      <c r="J167">
        <v>2612</v>
      </c>
      <c r="K167">
        <v>33.01</v>
      </c>
      <c r="L167">
        <v>3.6</v>
      </c>
      <c r="M167">
        <v>6.59</v>
      </c>
      <c r="N167">
        <v>1</v>
      </c>
      <c r="O167">
        <v>2</v>
      </c>
      <c r="P167">
        <v>13.18</v>
      </c>
      <c r="Q167">
        <v>4.59</v>
      </c>
      <c r="R167">
        <v>8.59</v>
      </c>
      <c r="AC167" s="1">
        <v>40250</v>
      </c>
    </row>
    <row r="168" spans="1:29" x14ac:dyDescent="0.25">
      <c r="A168" t="s">
        <v>846</v>
      </c>
      <c r="D168" t="s">
        <v>1815</v>
      </c>
      <c r="E168" t="s">
        <v>2035</v>
      </c>
      <c r="F168" t="s">
        <v>2077</v>
      </c>
      <c r="G168" t="s">
        <v>2084</v>
      </c>
      <c r="H168" t="s">
        <v>2096</v>
      </c>
      <c r="I168" t="s">
        <v>2107</v>
      </c>
      <c r="J168">
        <v>3463</v>
      </c>
      <c r="K168">
        <v>49</v>
      </c>
      <c r="L168">
        <v>2.4</v>
      </c>
      <c r="M168">
        <v>30.68</v>
      </c>
      <c r="N168">
        <v>2</v>
      </c>
      <c r="O168">
        <v>19</v>
      </c>
      <c r="P168">
        <v>1165.8399999999999</v>
      </c>
      <c r="Q168">
        <v>4.42</v>
      </c>
      <c r="R168">
        <v>1161.42</v>
      </c>
      <c r="AC168" s="1">
        <v>41566</v>
      </c>
    </row>
    <row r="169" spans="1:29" x14ac:dyDescent="0.25">
      <c r="A169" t="s">
        <v>165</v>
      </c>
      <c r="D169" t="s">
        <v>1174</v>
      </c>
      <c r="E169" t="s">
        <v>2049</v>
      </c>
      <c r="F169" t="s">
        <v>2080</v>
      </c>
      <c r="G169" t="s">
        <v>2090</v>
      </c>
      <c r="H169" t="s">
        <v>2096</v>
      </c>
      <c r="I169" t="s">
        <v>2100</v>
      </c>
      <c r="J169">
        <v>2839</v>
      </c>
      <c r="K169">
        <v>27.04</v>
      </c>
      <c r="L169">
        <v>4.0999999999999996</v>
      </c>
      <c r="M169">
        <v>7.77</v>
      </c>
      <c r="N169">
        <v>1</v>
      </c>
      <c r="O169">
        <v>18</v>
      </c>
      <c r="P169">
        <v>139.85999999999999</v>
      </c>
      <c r="Q169">
        <v>0.82</v>
      </c>
      <c r="R169">
        <v>139.04</v>
      </c>
      <c r="AC169" s="1">
        <v>40561</v>
      </c>
    </row>
    <row r="170" spans="1:29" x14ac:dyDescent="0.25">
      <c r="A170" t="s">
        <v>202</v>
      </c>
      <c r="D170" t="s">
        <v>1211</v>
      </c>
      <c r="E170" t="s">
        <v>2019</v>
      </c>
      <c r="F170" t="s">
        <v>2077</v>
      </c>
      <c r="G170" t="s">
        <v>2090</v>
      </c>
      <c r="H170" t="s">
        <v>2092</v>
      </c>
      <c r="I170" t="s">
        <v>2106</v>
      </c>
      <c r="J170">
        <v>238</v>
      </c>
      <c r="K170">
        <v>38.47</v>
      </c>
      <c r="L170">
        <v>2.6</v>
      </c>
      <c r="M170">
        <v>11.59</v>
      </c>
      <c r="N170">
        <v>2</v>
      </c>
      <c r="O170">
        <v>1</v>
      </c>
      <c r="P170">
        <v>23.18</v>
      </c>
      <c r="Q170">
        <v>0.96</v>
      </c>
      <c r="R170">
        <v>22.22</v>
      </c>
      <c r="AC170" s="1">
        <v>43392</v>
      </c>
    </row>
    <row r="171" spans="1:29" x14ac:dyDescent="0.25">
      <c r="A171" t="s">
        <v>222</v>
      </c>
      <c r="D171" t="s">
        <v>1231</v>
      </c>
      <c r="E171" t="s">
        <v>1995</v>
      </c>
      <c r="F171" t="s">
        <v>2076</v>
      </c>
      <c r="G171" t="s">
        <v>2090</v>
      </c>
      <c r="H171" t="s">
        <v>2096</v>
      </c>
      <c r="I171" t="s">
        <v>2110</v>
      </c>
      <c r="J171">
        <v>893</v>
      </c>
      <c r="K171">
        <v>15.46</v>
      </c>
      <c r="L171">
        <v>3.5</v>
      </c>
      <c r="M171">
        <v>17.12</v>
      </c>
      <c r="N171">
        <v>4</v>
      </c>
      <c r="O171">
        <v>14</v>
      </c>
      <c r="P171">
        <v>958.72</v>
      </c>
      <c r="Q171">
        <v>1.1100000000000001</v>
      </c>
      <c r="R171">
        <v>957.61</v>
      </c>
      <c r="AC171" s="1">
        <v>42625</v>
      </c>
    </row>
    <row r="172" spans="1:29" x14ac:dyDescent="0.25">
      <c r="A172" t="s">
        <v>259</v>
      </c>
      <c r="D172" t="s">
        <v>1266</v>
      </c>
      <c r="E172" t="s">
        <v>1997</v>
      </c>
      <c r="F172" t="s">
        <v>2074</v>
      </c>
      <c r="G172" t="s">
        <v>2090</v>
      </c>
      <c r="H172" t="s">
        <v>2095</v>
      </c>
      <c r="I172" t="s">
        <v>2107</v>
      </c>
      <c r="J172">
        <v>440</v>
      </c>
      <c r="K172">
        <v>41.76</v>
      </c>
      <c r="L172">
        <v>2.2000000000000002</v>
      </c>
      <c r="M172">
        <v>25.5</v>
      </c>
      <c r="N172">
        <v>5</v>
      </c>
      <c r="O172">
        <v>7</v>
      </c>
      <c r="P172">
        <v>892.5</v>
      </c>
      <c r="Q172">
        <v>4.84</v>
      </c>
      <c r="R172">
        <v>887.66</v>
      </c>
      <c r="AC172" s="1">
        <v>41326</v>
      </c>
    </row>
    <row r="173" spans="1:29" x14ac:dyDescent="0.25">
      <c r="A173" t="s">
        <v>304</v>
      </c>
      <c r="D173" t="s">
        <v>1220</v>
      </c>
      <c r="E173" t="s">
        <v>1994</v>
      </c>
      <c r="F173" t="s">
        <v>2081</v>
      </c>
      <c r="G173" t="s">
        <v>2090</v>
      </c>
      <c r="H173" t="s">
        <v>2095</v>
      </c>
      <c r="I173" t="s">
        <v>2104</v>
      </c>
      <c r="J173">
        <v>697</v>
      </c>
      <c r="K173">
        <v>23.03</v>
      </c>
      <c r="L173">
        <v>3.5</v>
      </c>
      <c r="M173">
        <v>7.53</v>
      </c>
      <c r="N173">
        <v>1</v>
      </c>
      <c r="O173">
        <v>14</v>
      </c>
      <c r="P173">
        <v>105.42</v>
      </c>
      <c r="Q173">
        <v>8.93</v>
      </c>
      <c r="R173">
        <v>96.49</v>
      </c>
      <c r="AC173" s="1">
        <v>42922</v>
      </c>
    </row>
    <row r="174" spans="1:29" x14ac:dyDescent="0.25">
      <c r="A174" t="s">
        <v>579</v>
      </c>
      <c r="D174" t="s">
        <v>1569</v>
      </c>
      <c r="E174" t="s">
        <v>2025</v>
      </c>
      <c r="F174" t="s">
        <v>2079</v>
      </c>
      <c r="G174" t="s">
        <v>2090</v>
      </c>
      <c r="H174" t="s">
        <v>2096</v>
      </c>
      <c r="I174" t="s">
        <v>2102</v>
      </c>
      <c r="J174">
        <v>2485</v>
      </c>
      <c r="K174">
        <v>35.840000000000003</v>
      </c>
      <c r="L174">
        <v>4.9000000000000004</v>
      </c>
      <c r="M174">
        <v>15.73</v>
      </c>
      <c r="N174">
        <v>3</v>
      </c>
      <c r="O174">
        <v>19</v>
      </c>
      <c r="P174">
        <v>896.6099999999999</v>
      </c>
      <c r="Q174">
        <v>5.92</v>
      </c>
      <c r="R174">
        <v>890.69</v>
      </c>
      <c r="AC174" s="1">
        <v>41889</v>
      </c>
    </row>
    <row r="175" spans="1:29" x14ac:dyDescent="0.25">
      <c r="A175" t="s">
        <v>624</v>
      </c>
      <c r="D175" t="s">
        <v>1609</v>
      </c>
      <c r="E175" t="s">
        <v>2023</v>
      </c>
      <c r="F175" t="s">
        <v>2078</v>
      </c>
      <c r="G175" t="s">
        <v>2090</v>
      </c>
      <c r="H175" t="s">
        <v>2094</v>
      </c>
      <c r="I175" t="s">
        <v>2111</v>
      </c>
      <c r="J175">
        <v>3256</v>
      </c>
      <c r="K175">
        <v>5.26</v>
      </c>
      <c r="L175">
        <v>4.9000000000000004</v>
      </c>
      <c r="M175">
        <v>13.95</v>
      </c>
      <c r="N175">
        <v>5</v>
      </c>
      <c r="O175">
        <v>20</v>
      </c>
      <c r="P175">
        <v>1395</v>
      </c>
      <c r="Q175">
        <v>7.67</v>
      </c>
      <c r="R175">
        <v>1387.33</v>
      </c>
      <c r="AC175" s="1">
        <v>42575</v>
      </c>
    </row>
    <row r="176" spans="1:29" x14ac:dyDescent="0.25">
      <c r="A176" t="s">
        <v>808</v>
      </c>
      <c r="D176" t="s">
        <v>1779</v>
      </c>
      <c r="E176" t="s">
        <v>2000</v>
      </c>
      <c r="F176" t="s">
        <v>2079</v>
      </c>
      <c r="G176" t="s">
        <v>2090</v>
      </c>
      <c r="H176" t="s">
        <v>2093</v>
      </c>
      <c r="I176" t="s">
        <v>2101</v>
      </c>
      <c r="J176">
        <v>4464</v>
      </c>
      <c r="K176">
        <v>47.45</v>
      </c>
      <c r="L176">
        <v>4.3</v>
      </c>
      <c r="M176">
        <v>38.33</v>
      </c>
      <c r="N176">
        <v>1</v>
      </c>
      <c r="O176">
        <v>1</v>
      </c>
      <c r="P176">
        <v>38.33</v>
      </c>
      <c r="Q176">
        <v>0.22</v>
      </c>
      <c r="R176">
        <v>38.11</v>
      </c>
      <c r="U176" s="20">
        <f>AVERAGE(K:K)</f>
        <v>27.659679999999987</v>
      </c>
      <c r="AC176" s="1">
        <v>42015</v>
      </c>
    </row>
    <row r="177" spans="1:29" x14ac:dyDescent="0.25">
      <c r="A177" t="s">
        <v>917</v>
      </c>
      <c r="D177" t="s">
        <v>1882</v>
      </c>
      <c r="E177" t="s">
        <v>2046</v>
      </c>
      <c r="F177" t="s">
        <v>2075</v>
      </c>
      <c r="G177" t="s">
        <v>2090</v>
      </c>
      <c r="H177" t="s">
        <v>2096</v>
      </c>
      <c r="I177" t="s">
        <v>2099</v>
      </c>
      <c r="J177">
        <v>1491</v>
      </c>
      <c r="K177">
        <v>12.69</v>
      </c>
      <c r="L177">
        <v>5</v>
      </c>
      <c r="M177">
        <v>37.82</v>
      </c>
      <c r="N177">
        <v>2</v>
      </c>
      <c r="O177">
        <v>19</v>
      </c>
      <c r="P177">
        <v>1437.16</v>
      </c>
      <c r="Q177">
        <v>8.6300000000000008</v>
      </c>
      <c r="R177">
        <v>1428.53</v>
      </c>
      <c r="AC177" s="1">
        <v>43101</v>
      </c>
    </row>
    <row r="178" spans="1:29" x14ac:dyDescent="0.25">
      <c r="A178" t="s">
        <v>926</v>
      </c>
      <c r="D178" t="s">
        <v>1891</v>
      </c>
      <c r="E178" t="s">
        <v>1996</v>
      </c>
      <c r="F178" t="s">
        <v>2078</v>
      </c>
      <c r="G178" t="s">
        <v>2090</v>
      </c>
      <c r="H178" t="s">
        <v>2094</v>
      </c>
      <c r="I178" t="s">
        <v>2105</v>
      </c>
      <c r="J178">
        <v>3648</v>
      </c>
      <c r="K178">
        <v>13.95</v>
      </c>
      <c r="L178">
        <v>3.6</v>
      </c>
      <c r="M178">
        <v>26.86</v>
      </c>
      <c r="N178">
        <v>2</v>
      </c>
      <c r="O178">
        <v>8</v>
      </c>
      <c r="P178">
        <v>429.76</v>
      </c>
      <c r="Q178">
        <v>7.73</v>
      </c>
      <c r="R178">
        <v>422.03</v>
      </c>
      <c r="AC178" s="1">
        <v>43430</v>
      </c>
    </row>
    <row r="179" spans="1:29" x14ac:dyDescent="0.25">
      <c r="A179" t="s">
        <v>960</v>
      </c>
      <c r="D179" t="s">
        <v>1921</v>
      </c>
      <c r="E179" t="s">
        <v>2024</v>
      </c>
      <c r="F179" t="s">
        <v>2075</v>
      </c>
      <c r="G179" t="s">
        <v>2090</v>
      </c>
      <c r="H179" t="s">
        <v>2095</v>
      </c>
      <c r="I179" t="s">
        <v>2105</v>
      </c>
      <c r="J179">
        <v>2946</v>
      </c>
      <c r="K179">
        <v>37.78</v>
      </c>
      <c r="L179">
        <v>4</v>
      </c>
      <c r="M179">
        <v>13.98</v>
      </c>
      <c r="N179">
        <v>3</v>
      </c>
      <c r="O179">
        <v>10</v>
      </c>
      <c r="P179">
        <v>419.4</v>
      </c>
      <c r="Q179">
        <v>9.76</v>
      </c>
      <c r="R179">
        <v>409.64</v>
      </c>
      <c r="AC179" s="1">
        <v>41845</v>
      </c>
    </row>
    <row r="180" spans="1:29" x14ac:dyDescent="0.25">
      <c r="A180" t="s">
        <v>974</v>
      </c>
      <c r="D180" t="s">
        <v>1933</v>
      </c>
      <c r="E180" t="s">
        <v>2071</v>
      </c>
      <c r="F180" t="s">
        <v>2077</v>
      </c>
      <c r="G180" t="s">
        <v>2090</v>
      </c>
      <c r="H180" t="s">
        <v>2095</v>
      </c>
      <c r="I180" t="s">
        <v>2108</v>
      </c>
      <c r="J180">
        <v>2982</v>
      </c>
      <c r="K180">
        <v>13.46</v>
      </c>
      <c r="L180">
        <v>3.1</v>
      </c>
      <c r="M180">
        <v>30.19</v>
      </c>
      <c r="N180">
        <v>1</v>
      </c>
      <c r="O180">
        <v>11</v>
      </c>
      <c r="P180">
        <v>332.09000000000003</v>
      </c>
      <c r="Q180">
        <v>3.48</v>
      </c>
      <c r="R180">
        <v>328.61</v>
      </c>
      <c r="AC180" s="1">
        <v>41392</v>
      </c>
    </row>
    <row r="181" spans="1:29" x14ac:dyDescent="0.25">
      <c r="A181" t="s">
        <v>267</v>
      </c>
      <c r="D181" t="s">
        <v>1273</v>
      </c>
      <c r="E181" t="s">
        <v>2019</v>
      </c>
      <c r="F181" t="s">
        <v>2080</v>
      </c>
      <c r="G181" t="s">
        <v>2083</v>
      </c>
      <c r="H181" t="s">
        <v>2096</v>
      </c>
      <c r="I181" t="s">
        <v>2098</v>
      </c>
      <c r="J181">
        <v>977</v>
      </c>
      <c r="K181">
        <v>19.62</v>
      </c>
      <c r="L181">
        <v>4.0999999999999996</v>
      </c>
      <c r="M181">
        <v>33.729999999999997</v>
      </c>
      <c r="N181">
        <v>2</v>
      </c>
      <c r="O181">
        <v>18</v>
      </c>
      <c r="P181">
        <v>1214.28</v>
      </c>
      <c r="Q181">
        <v>7.12</v>
      </c>
      <c r="R181">
        <v>1207.1600000000001</v>
      </c>
      <c r="AC181" s="1">
        <v>43084</v>
      </c>
    </row>
    <row r="182" spans="1:29" x14ac:dyDescent="0.25">
      <c r="A182" t="s">
        <v>345</v>
      </c>
      <c r="D182" t="s">
        <v>1348</v>
      </c>
      <c r="E182" t="s">
        <v>2048</v>
      </c>
      <c r="F182" t="s">
        <v>2074</v>
      </c>
      <c r="G182" t="s">
        <v>2083</v>
      </c>
      <c r="H182" t="s">
        <v>2094</v>
      </c>
      <c r="I182" t="s">
        <v>2107</v>
      </c>
      <c r="J182">
        <v>954</v>
      </c>
      <c r="K182">
        <v>17.04</v>
      </c>
      <c r="L182">
        <v>4.7</v>
      </c>
      <c r="M182">
        <v>21.89</v>
      </c>
      <c r="N182">
        <v>3</v>
      </c>
      <c r="O182">
        <v>18</v>
      </c>
      <c r="P182">
        <v>1182.06</v>
      </c>
      <c r="Q182">
        <v>1.61</v>
      </c>
      <c r="R182">
        <v>1180.45</v>
      </c>
      <c r="AC182" s="1">
        <v>41317</v>
      </c>
    </row>
    <row r="183" spans="1:29" x14ac:dyDescent="0.25">
      <c r="A183" t="s">
        <v>423</v>
      </c>
      <c r="D183" t="s">
        <v>1422</v>
      </c>
      <c r="E183" t="s">
        <v>1973</v>
      </c>
      <c r="F183" t="s">
        <v>2074</v>
      </c>
      <c r="G183" t="s">
        <v>2083</v>
      </c>
      <c r="H183" t="s">
        <v>2096</v>
      </c>
      <c r="I183" t="s">
        <v>2100</v>
      </c>
      <c r="J183">
        <v>1545</v>
      </c>
      <c r="K183">
        <v>26.71</v>
      </c>
      <c r="L183">
        <v>3.3</v>
      </c>
      <c r="M183">
        <v>24.79</v>
      </c>
      <c r="N183">
        <v>3</v>
      </c>
      <c r="O183">
        <v>20</v>
      </c>
      <c r="P183">
        <v>1487.4</v>
      </c>
      <c r="Q183">
        <v>2.16</v>
      </c>
      <c r="R183">
        <v>1485.24</v>
      </c>
      <c r="AC183" s="1">
        <v>42789</v>
      </c>
    </row>
    <row r="184" spans="1:29" x14ac:dyDescent="0.25">
      <c r="A184" t="s">
        <v>593</v>
      </c>
      <c r="D184" t="s">
        <v>1580</v>
      </c>
      <c r="E184" t="s">
        <v>1992</v>
      </c>
      <c r="F184" t="s">
        <v>2073</v>
      </c>
      <c r="G184" t="s">
        <v>2083</v>
      </c>
      <c r="H184" t="s">
        <v>2095</v>
      </c>
      <c r="I184" t="s">
        <v>2104</v>
      </c>
      <c r="J184">
        <v>4717</v>
      </c>
      <c r="K184">
        <v>32.799999999999997</v>
      </c>
      <c r="L184">
        <v>4.0999999999999996</v>
      </c>
      <c r="M184">
        <v>26.35</v>
      </c>
      <c r="N184">
        <v>5</v>
      </c>
      <c r="O184">
        <v>15</v>
      </c>
      <c r="P184">
        <v>1976.25</v>
      </c>
      <c r="Q184">
        <v>9.15</v>
      </c>
      <c r="R184">
        <v>1967.1</v>
      </c>
      <c r="AC184" s="1">
        <v>43465</v>
      </c>
    </row>
    <row r="185" spans="1:29" x14ac:dyDescent="0.25">
      <c r="A185" t="s">
        <v>795</v>
      </c>
      <c r="D185" t="s">
        <v>1769</v>
      </c>
      <c r="E185" t="s">
        <v>2029</v>
      </c>
      <c r="F185" t="s">
        <v>2079</v>
      </c>
      <c r="G185" t="s">
        <v>2083</v>
      </c>
      <c r="H185" t="s">
        <v>2094</v>
      </c>
      <c r="I185" t="s">
        <v>2101</v>
      </c>
      <c r="J185">
        <v>4676</v>
      </c>
      <c r="K185">
        <v>14.31</v>
      </c>
      <c r="L185">
        <v>1.4</v>
      </c>
      <c r="M185">
        <v>31.92</v>
      </c>
      <c r="N185">
        <v>1</v>
      </c>
      <c r="O185">
        <v>1</v>
      </c>
      <c r="P185">
        <v>31.92</v>
      </c>
      <c r="Q185">
        <v>8.02</v>
      </c>
      <c r="R185">
        <v>23.9</v>
      </c>
      <c r="AC185" s="1">
        <v>43194</v>
      </c>
    </row>
    <row r="186" spans="1:29" x14ac:dyDescent="0.25">
      <c r="A186" t="s">
        <v>981</v>
      </c>
      <c r="D186" t="s">
        <v>1940</v>
      </c>
      <c r="E186" t="s">
        <v>2060</v>
      </c>
      <c r="F186" t="s">
        <v>2076</v>
      </c>
      <c r="G186" t="s">
        <v>2083</v>
      </c>
      <c r="H186" t="s">
        <v>2096</v>
      </c>
      <c r="I186" t="s">
        <v>2109</v>
      </c>
      <c r="J186">
        <v>2265</v>
      </c>
      <c r="K186">
        <v>46.15</v>
      </c>
      <c r="L186">
        <v>1.9</v>
      </c>
      <c r="M186">
        <v>16.95</v>
      </c>
      <c r="N186">
        <v>2</v>
      </c>
      <c r="O186">
        <v>10</v>
      </c>
      <c r="P186">
        <v>339</v>
      </c>
      <c r="Q186">
        <v>2.21</v>
      </c>
      <c r="R186">
        <v>336.79</v>
      </c>
      <c r="AC186" s="1">
        <v>41057</v>
      </c>
    </row>
    <row r="187" spans="1:29" x14ac:dyDescent="0.25">
      <c r="A187" t="s">
        <v>1013</v>
      </c>
      <c r="D187" t="s">
        <v>1970</v>
      </c>
      <c r="E187" t="s">
        <v>2060</v>
      </c>
      <c r="F187" t="s">
        <v>2078</v>
      </c>
      <c r="G187" t="s">
        <v>2083</v>
      </c>
      <c r="H187" t="s">
        <v>2096</v>
      </c>
      <c r="I187" t="s">
        <v>2108</v>
      </c>
      <c r="J187">
        <v>1716</v>
      </c>
      <c r="K187">
        <v>43.23</v>
      </c>
      <c r="L187">
        <v>1.4</v>
      </c>
      <c r="M187">
        <v>7.23</v>
      </c>
      <c r="N187">
        <v>5</v>
      </c>
      <c r="O187">
        <v>18</v>
      </c>
      <c r="P187">
        <v>650.70000000000005</v>
      </c>
      <c r="Q187">
        <v>8.59</v>
      </c>
      <c r="R187">
        <v>642.11</v>
      </c>
      <c r="AC187" s="1">
        <v>42424</v>
      </c>
    </row>
    <row r="188" spans="1:29" x14ac:dyDescent="0.25">
      <c r="A188" t="s">
        <v>114</v>
      </c>
      <c r="D188" t="s">
        <v>1124</v>
      </c>
      <c r="E188" t="s">
        <v>2028</v>
      </c>
      <c r="F188" t="s">
        <v>2076</v>
      </c>
      <c r="G188" t="s">
        <v>2087</v>
      </c>
      <c r="H188" t="s">
        <v>2092</v>
      </c>
      <c r="I188" t="s">
        <v>2110</v>
      </c>
      <c r="J188">
        <v>4685</v>
      </c>
      <c r="K188">
        <v>5.07</v>
      </c>
      <c r="L188">
        <v>3.4</v>
      </c>
      <c r="M188">
        <v>12.21</v>
      </c>
      <c r="N188">
        <v>2</v>
      </c>
      <c r="O188">
        <v>14</v>
      </c>
      <c r="P188">
        <v>341.88</v>
      </c>
      <c r="Q188">
        <v>8.77</v>
      </c>
      <c r="R188">
        <v>333.11</v>
      </c>
      <c r="AC188" s="1">
        <v>40180</v>
      </c>
    </row>
    <row r="189" spans="1:29" x14ac:dyDescent="0.25">
      <c r="A189" t="s">
        <v>159</v>
      </c>
      <c r="D189" t="s">
        <v>1168</v>
      </c>
      <c r="E189" t="s">
        <v>2014</v>
      </c>
      <c r="F189" t="s">
        <v>2077</v>
      </c>
      <c r="G189" t="s">
        <v>2087</v>
      </c>
      <c r="H189" t="s">
        <v>2096</v>
      </c>
      <c r="I189" t="s">
        <v>2106</v>
      </c>
      <c r="J189">
        <v>72</v>
      </c>
      <c r="K189">
        <v>23.99</v>
      </c>
      <c r="L189">
        <v>4.2</v>
      </c>
      <c r="M189">
        <v>11.4</v>
      </c>
      <c r="N189">
        <v>5</v>
      </c>
      <c r="O189">
        <v>14</v>
      </c>
      <c r="P189">
        <v>798</v>
      </c>
      <c r="Q189">
        <v>6.13</v>
      </c>
      <c r="R189">
        <v>791.87</v>
      </c>
      <c r="AC189" s="1">
        <v>42916</v>
      </c>
    </row>
    <row r="190" spans="1:29" x14ac:dyDescent="0.25">
      <c r="A190" t="s">
        <v>173</v>
      </c>
      <c r="D190" t="s">
        <v>1182</v>
      </c>
      <c r="E190" t="s">
        <v>2029</v>
      </c>
      <c r="F190" t="s">
        <v>2079</v>
      </c>
      <c r="G190" t="s">
        <v>2087</v>
      </c>
      <c r="H190" t="s">
        <v>2093</v>
      </c>
      <c r="I190" t="s">
        <v>2098</v>
      </c>
      <c r="J190">
        <v>2767</v>
      </c>
      <c r="K190">
        <v>8.89</v>
      </c>
      <c r="L190">
        <v>2.8</v>
      </c>
      <c r="M190">
        <v>26.99</v>
      </c>
      <c r="N190">
        <v>2</v>
      </c>
      <c r="O190">
        <v>17</v>
      </c>
      <c r="P190">
        <v>917.66</v>
      </c>
      <c r="Q190">
        <v>2.79</v>
      </c>
      <c r="R190">
        <v>914.87</v>
      </c>
      <c r="AC190" s="1">
        <v>40918</v>
      </c>
    </row>
    <row r="191" spans="1:29" x14ac:dyDescent="0.25">
      <c r="A191" t="s">
        <v>212</v>
      </c>
      <c r="D191" t="s">
        <v>1221</v>
      </c>
      <c r="E191" t="s">
        <v>2057</v>
      </c>
      <c r="F191" t="s">
        <v>2074</v>
      </c>
      <c r="G191" t="s">
        <v>2087</v>
      </c>
      <c r="H191" t="s">
        <v>2094</v>
      </c>
      <c r="I191" t="s">
        <v>2098</v>
      </c>
      <c r="J191">
        <v>2466</v>
      </c>
      <c r="K191">
        <v>34.76</v>
      </c>
      <c r="L191">
        <v>3.6</v>
      </c>
      <c r="M191">
        <v>18.309999999999999</v>
      </c>
      <c r="N191">
        <v>3</v>
      </c>
      <c r="O191">
        <v>6</v>
      </c>
      <c r="P191">
        <v>329.57999999999993</v>
      </c>
      <c r="Q191">
        <v>9.14</v>
      </c>
      <c r="R191">
        <v>320.44</v>
      </c>
      <c r="AC191" s="1">
        <v>41272</v>
      </c>
    </row>
    <row r="192" spans="1:29" x14ac:dyDescent="0.25">
      <c r="A192" t="s">
        <v>506</v>
      </c>
      <c r="D192" t="s">
        <v>1501</v>
      </c>
      <c r="E192" t="s">
        <v>2032</v>
      </c>
      <c r="F192" t="s">
        <v>2073</v>
      </c>
      <c r="G192" t="s">
        <v>2087</v>
      </c>
      <c r="H192" t="s">
        <v>2094</v>
      </c>
      <c r="I192" t="s">
        <v>2105</v>
      </c>
      <c r="J192">
        <v>4796</v>
      </c>
      <c r="K192">
        <v>16.96</v>
      </c>
      <c r="L192">
        <v>4.9000000000000004</v>
      </c>
      <c r="M192">
        <v>14.79</v>
      </c>
      <c r="N192">
        <v>1</v>
      </c>
      <c r="O192">
        <v>5</v>
      </c>
      <c r="P192">
        <v>73.949999999999989</v>
      </c>
      <c r="Q192">
        <v>3.1</v>
      </c>
      <c r="R192">
        <v>70.849999999999994</v>
      </c>
      <c r="AC192" s="1">
        <v>40841</v>
      </c>
    </row>
    <row r="193" spans="1:29" x14ac:dyDescent="0.25">
      <c r="A193" t="s">
        <v>547</v>
      </c>
      <c r="D193" t="s">
        <v>1541</v>
      </c>
      <c r="E193" t="s">
        <v>2006</v>
      </c>
      <c r="F193" t="s">
        <v>2075</v>
      </c>
      <c r="G193" t="s">
        <v>2087</v>
      </c>
      <c r="H193" t="s">
        <v>2092</v>
      </c>
      <c r="I193" t="s">
        <v>2109</v>
      </c>
      <c r="J193">
        <v>469</v>
      </c>
      <c r="K193">
        <v>47.65</v>
      </c>
      <c r="L193">
        <v>4.4000000000000004</v>
      </c>
      <c r="M193">
        <v>7.79</v>
      </c>
      <c r="N193">
        <v>3</v>
      </c>
      <c r="O193">
        <v>15</v>
      </c>
      <c r="P193">
        <v>350.55</v>
      </c>
      <c r="Q193">
        <v>9.26</v>
      </c>
      <c r="R193">
        <v>341.29</v>
      </c>
      <c r="AC193" s="1">
        <v>41353</v>
      </c>
    </row>
    <row r="194" spans="1:29" x14ac:dyDescent="0.25">
      <c r="A194" t="s">
        <v>708</v>
      </c>
      <c r="D194" t="s">
        <v>1687</v>
      </c>
      <c r="E194" t="s">
        <v>2037</v>
      </c>
      <c r="F194" t="s">
        <v>2081</v>
      </c>
      <c r="G194" t="s">
        <v>2087</v>
      </c>
      <c r="H194" t="s">
        <v>2094</v>
      </c>
      <c r="I194" t="s">
        <v>2099</v>
      </c>
      <c r="J194">
        <v>2130</v>
      </c>
      <c r="K194">
        <v>46.99</v>
      </c>
      <c r="L194">
        <v>4.8</v>
      </c>
      <c r="M194">
        <v>15.66</v>
      </c>
      <c r="N194">
        <v>3</v>
      </c>
      <c r="O194">
        <v>19</v>
      </c>
      <c r="P194">
        <v>892.62000000000012</v>
      </c>
      <c r="Q194">
        <v>2.0499999999999998</v>
      </c>
      <c r="R194">
        <v>890.57</v>
      </c>
      <c r="AC194" s="1">
        <v>42425</v>
      </c>
    </row>
    <row r="195" spans="1:29" x14ac:dyDescent="0.25">
      <c r="A195" t="s">
        <v>959</v>
      </c>
      <c r="D195" t="s">
        <v>1920</v>
      </c>
      <c r="E195" t="s">
        <v>2018</v>
      </c>
      <c r="F195" t="s">
        <v>2078</v>
      </c>
      <c r="G195" t="s">
        <v>2087</v>
      </c>
      <c r="H195" t="s">
        <v>2094</v>
      </c>
      <c r="I195" t="s">
        <v>2097</v>
      </c>
      <c r="J195">
        <v>777</v>
      </c>
      <c r="K195">
        <v>23.93</v>
      </c>
      <c r="L195">
        <v>2.1</v>
      </c>
      <c r="M195">
        <v>35.25</v>
      </c>
      <c r="N195">
        <v>2</v>
      </c>
      <c r="O195">
        <v>1</v>
      </c>
      <c r="P195">
        <v>70.5</v>
      </c>
      <c r="Q195">
        <v>1.78</v>
      </c>
      <c r="R195">
        <v>68.72</v>
      </c>
      <c r="AC195" s="1">
        <v>40952</v>
      </c>
    </row>
    <row r="196" spans="1:29" x14ac:dyDescent="0.25">
      <c r="A196" t="s">
        <v>979</v>
      </c>
      <c r="D196" t="s">
        <v>1938</v>
      </c>
      <c r="E196" t="s">
        <v>2051</v>
      </c>
      <c r="F196" t="s">
        <v>2079</v>
      </c>
      <c r="G196" t="s">
        <v>2087</v>
      </c>
      <c r="H196" t="s">
        <v>2094</v>
      </c>
      <c r="I196" t="s">
        <v>2109</v>
      </c>
      <c r="J196">
        <v>1110</v>
      </c>
      <c r="K196">
        <v>34.24</v>
      </c>
      <c r="L196">
        <v>4.5</v>
      </c>
      <c r="M196">
        <v>33.67</v>
      </c>
      <c r="N196">
        <v>1</v>
      </c>
      <c r="O196">
        <v>12</v>
      </c>
      <c r="P196">
        <v>404.04</v>
      </c>
      <c r="Q196">
        <v>6.07</v>
      </c>
      <c r="R196">
        <v>397.97</v>
      </c>
      <c r="AC196" s="1">
        <v>42348</v>
      </c>
    </row>
    <row r="197" spans="1:29" x14ac:dyDescent="0.25">
      <c r="A197" t="s">
        <v>48</v>
      </c>
      <c r="D197" t="s">
        <v>1058</v>
      </c>
      <c r="E197" t="s">
        <v>2000</v>
      </c>
      <c r="F197" t="s">
        <v>2073</v>
      </c>
      <c r="G197" t="s">
        <v>2088</v>
      </c>
      <c r="H197" t="s">
        <v>2092</v>
      </c>
      <c r="I197" t="s">
        <v>2097</v>
      </c>
      <c r="J197">
        <v>3682</v>
      </c>
      <c r="K197">
        <v>30.95</v>
      </c>
      <c r="L197">
        <v>4.9000000000000004</v>
      </c>
      <c r="M197">
        <v>19.38</v>
      </c>
      <c r="N197">
        <v>4</v>
      </c>
      <c r="O197">
        <v>16</v>
      </c>
      <c r="P197">
        <v>1240.32</v>
      </c>
      <c r="Q197">
        <v>8.68</v>
      </c>
      <c r="R197">
        <v>1231.6400000000001</v>
      </c>
      <c r="AC197" s="1">
        <v>42311</v>
      </c>
    </row>
    <row r="198" spans="1:29" x14ac:dyDescent="0.25">
      <c r="A198" t="s">
        <v>55</v>
      </c>
      <c r="D198" t="s">
        <v>1065</v>
      </c>
      <c r="E198" t="s">
        <v>2003</v>
      </c>
      <c r="F198" t="s">
        <v>2080</v>
      </c>
      <c r="G198" t="s">
        <v>2088</v>
      </c>
      <c r="H198" t="s">
        <v>2092</v>
      </c>
      <c r="I198" t="s">
        <v>2105</v>
      </c>
      <c r="J198">
        <v>1606</v>
      </c>
      <c r="K198">
        <v>5.76</v>
      </c>
      <c r="L198">
        <v>2.6</v>
      </c>
      <c r="M198">
        <v>12.04</v>
      </c>
      <c r="N198">
        <v>2</v>
      </c>
      <c r="O198">
        <v>15</v>
      </c>
      <c r="P198">
        <v>361.2</v>
      </c>
      <c r="Q198">
        <v>2.8</v>
      </c>
      <c r="R198">
        <v>358.4</v>
      </c>
      <c r="AC198" s="1">
        <v>40651</v>
      </c>
    </row>
    <row r="199" spans="1:29" x14ac:dyDescent="0.25">
      <c r="A199" t="s">
        <v>174</v>
      </c>
      <c r="D199" t="s">
        <v>1183</v>
      </c>
      <c r="E199" t="s">
        <v>1998</v>
      </c>
      <c r="F199" t="s">
        <v>2080</v>
      </c>
      <c r="G199" t="s">
        <v>2088</v>
      </c>
      <c r="H199" t="s">
        <v>2093</v>
      </c>
      <c r="I199" t="s">
        <v>2103</v>
      </c>
      <c r="J199">
        <v>3803</v>
      </c>
      <c r="K199">
        <v>38.25</v>
      </c>
      <c r="L199">
        <v>4.2</v>
      </c>
      <c r="M199">
        <v>38.89</v>
      </c>
      <c r="N199">
        <v>3</v>
      </c>
      <c r="O199">
        <v>7</v>
      </c>
      <c r="P199">
        <v>816.69</v>
      </c>
      <c r="Q199">
        <v>7.83</v>
      </c>
      <c r="R199">
        <v>808.86</v>
      </c>
      <c r="AC199" s="1">
        <v>42405</v>
      </c>
    </row>
    <row r="200" spans="1:29" x14ac:dyDescent="0.25">
      <c r="A200" t="s">
        <v>253</v>
      </c>
      <c r="D200" t="s">
        <v>1260</v>
      </c>
      <c r="E200" t="s">
        <v>1997</v>
      </c>
      <c r="F200" t="s">
        <v>2073</v>
      </c>
      <c r="G200" t="s">
        <v>2088</v>
      </c>
      <c r="H200" t="s">
        <v>2093</v>
      </c>
      <c r="I200" t="s">
        <v>2105</v>
      </c>
      <c r="J200">
        <v>4702</v>
      </c>
      <c r="K200">
        <v>43.86</v>
      </c>
      <c r="L200">
        <v>4.9000000000000004</v>
      </c>
      <c r="M200">
        <v>15.34</v>
      </c>
      <c r="N200">
        <v>3</v>
      </c>
      <c r="O200">
        <v>14</v>
      </c>
      <c r="P200">
        <v>644.28</v>
      </c>
      <c r="Q200">
        <v>4.68</v>
      </c>
      <c r="R200">
        <v>639.6</v>
      </c>
      <c r="AC200" s="1">
        <v>43267</v>
      </c>
    </row>
    <row r="201" spans="1:29" x14ac:dyDescent="0.25">
      <c r="A201" t="s">
        <v>415</v>
      </c>
      <c r="D201" t="s">
        <v>1414</v>
      </c>
      <c r="E201" t="s">
        <v>2040</v>
      </c>
      <c r="F201" t="s">
        <v>2080</v>
      </c>
      <c r="G201" t="s">
        <v>2088</v>
      </c>
      <c r="H201" t="s">
        <v>2094</v>
      </c>
      <c r="I201" t="s">
        <v>2106</v>
      </c>
      <c r="J201">
        <v>3838</v>
      </c>
      <c r="K201">
        <v>37.33</v>
      </c>
      <c r="L201">
        <v>2</v>
      </c>
      <c r="M201">
        <v>17.75</v>
      </c>
      <c r="N201">
        <v>2</v>
      </c>
      <c r="O201">
        <v>11</v>
      </c>
      <c r="P201">
        <v>390.5</v>
      </c>
      <c r="Q201">
        <v>6.91</v>
      </c>
      <c r="R201">
        <v>383.59</v>
      </c>
      <c r="AC201" s="1">
        <v>40619</v>
      </c>
    </row>
    <row r="202" spans="1:29" x14ac:dyDescent="0.25">
      <c r="A202" t="s">
        <v>428</v>
      </c>
      <c r="D202" t="s">
        <v>1426</v>
      </c>
      <c r="E202" t="s">
        <v>1993</v>
      </c>
      <c r="F202" t="s">
        <v>2079</v>
      </c>
      <c r="G202" t="s">
        <v>2088</v>
      </c>
      <c r="H202" t="s">
        <v>2094</v>
      </c>
      <c r="I202" t="s">
        <v>2101</v>
      </c>
      <c r="J202">
        <v>4261</v>
      </c>
      <c r="K202">
        <v>46.55</v>
      </c>
      <c r="L202">
        <v>5</v>
      </c>
      <c r="M202">
        <v>29.93</v>
      </c>
      <c r="N202">
        <v>5</v>
      </c>
      <c r="O202">
        <v>12</v>
      </c>
      <c r="P202">
        <v>1795.8000000000002</v>
      </c>
      <c r="Q202">
        <v>5.05</v>
      </c>
      <c r="R202">
        <v>1790.75</v>
      </c>
      <c r="AC202" s="1">
        <v>42438</v>
      </c>
    </row>
    <row r="203" spans="1:29" x14ac:dyDescent="0.25">
      <c r="A203" t="s">
        <v>468</v>
      </c>
      <c r="D203" t="s">
        <v>1466</v>
      </c>
      <c r="E203" t="s">
        <v>2017</v>
      </c>
      <c r="F203" t="s">
        <v>2074</v>
      </c>
      <c r="G203" t="s">
        <v>2088</v>
      </c>
      <c r="H203" t="s">
        <v>2096</v>
      </c>
      <c r="I203" t="s">
        <v>2100</v>
      </c>
      <c r="J203">
        <v>4528</v>
      </c>
      <c r="K203">
        <v>17.73</v>
      </c>
      <c r="L203">
        <v>1.2</v>
      </c>
      <c r="M203">
        <v>9.5399999999999991</v>
      </c>
      <c r="N203">
        <v>1</v>
      </c>
      <c r="O203">
        <v>10</v>
      </c>
      <c r="P203">
        <v>95.399999999999991</v>
      </c>
      <c r="Q203">
        <v>9.93</v>
      </c>
      <c r="R203">
        <v>85.47</v>
      </c>
      <c r="AC203" s="1">
        <v>43284</v>
      </c>
    </row>
    <row r="204" spans="1:29" x14ac:dyDescent="0.25">
      <c r="A204" t="s">
        <v>483</v>
      </c>
      <c r="D204" t="s">
        <v>1481</v>
      </c>
      <c r="E204" t="s">
        <v>1991</v>
      </c>
      <c r="F204" t="s">
        <v>2076</v>
      </c>
      <c r="G204" t="s">
        <v>2088</v>
      </c>
      <c r="H204" t="s">
        <v>2093</v>
      </c>
      <c r="I204" t="s">
        <v>2100</v>
      </c>
      <c r="J204">
        <v>2496</v>
      </c>
      <c r="K204">
        <v>29.17</v>
      </c>
      <c r="L204">
        <v>4.2</v>
      </c>
      <c r="M204">
        <v>9.4</v>
      </c>
      <c r="N204">
        <v>3</v>
      </c>
      <c r="O204">
        <v>14</v>
      </c>
      <c r="P204">
        <v>394.80000000000007</v>
      </c>
      <c r="Q204">
        <v>5.0999999999999996</v>
      </c>
      <c r="R204">
        <v>389.7</v>
      </c>
      <c r="AC204" s="1">
        <v>40257</v>
      </c>
    </row>
    <row r="205" spans="1:29" x14ac:dyDescent="0.25">
      <c r="A205" t="s">
        <v>556</v>
      </c>
      <c r="D205" t="s">
        <v>1448</v>
      </c>
      <c r="E205" t="s">
        <v>2027</v>
      </c>
      <c r="F205" t="s">
        <v>2073</v>
      </c>
      <c r="G205" t="s">
        <v>2088</v>
      </c>
      <c r="H205" t="s">
        <v>2092</v>
      </c>
      <c r="I205" t="s">
        <v>2097</v>
      </c>
      <c r="J205">
        <v>1396</v>
      </c>
      <c r="K205">
        <v>24.95</v>
      </c>
      <c r="L205">
        <v>4.3</v>
      </c>
      <c r="M205">
        <v>5.1100000000000003</v>
      </c>
      <c r="N205">
        <v>3</v>
      </c>
      <c r="O205">
        <v>1</v>
      </c>
      <c r="P205">
        <v>15.330000000000002</v>
      </c>
      <c r="Q205">
        <v>6.92</v>
      </c>
      <c r="R205">
        <v>8.41</v>
      </c>
      <c r="AC205" s="1">
        <v>41744</v>
      </c>
    </row>
    <row r="206" spans="1:29" x14ac:dyDescent="0.25">
      <c r="A206" t="s">
        <v>616</v>
      </c>
      <c r="D206" t="s">
        <v>1602</v>
      </c>
      <c r="E206" t="s">
        <v>1977</v>
      </c>
      <c r="F206" t="s">
        <v>2074</v>
      </c>
      <c r="G206" t="s">
        <v>2088</v>
      </c>
      <c r="H206" t="s">
        <v>2092</v>
      </c>
      <c r="I206" t="s">
        <v>2105</v>
      </c>
      <c r="J206">
        <v>3422</v>
      </c>
      <c r="K206">
        <v>46.75</v>
      </c>
      <c r="L206">
        <v>2.2999999999999998</v>
      </c>
      <c r="M206">
        <v>38.06</v>
      </c>
      <c r="N206">
        <v>5</v>
      </c>
      <c r="O206">
        <v>17</v>
      </c>
      <c r="P206">
        <v>3235.1000000000004</v>
      </c>
      <c r="Q206">
        <v>9.81</v>
      </c>
      <c r="R206">
        <v>3225.29</v>
      </c>
      <c r="AC206" s="1">
        <v>43140</v>
      </c>
    </row>
    <row r="207" spans="1:29" x14ac:dyDescent="0.25">
      <c r="A207" t="s">
        <v>91</v>
      </c>
      <c r="D207" t="s">
        <v>1101</v>
      </c>
      <c r="E207" t="s">
        <v>2006</v>
      </c>
      <c r="F207" t="s">
        <v>2073</v>
      </c>
      <c r="G207" t="s">
        <v>2085</v>
      </c>
      <c r="H207" t="s">
        <v>2094</v>
      </c>
      <c r="I207" t="s">
        <v>2109</v>
      </c>
      <c r="J207">
        <v>1496</v>
      </c>
      <c r="K207">
        <v>47.88</v>
      </c>
      <c r="L207">
        <v>4.2</v>
      </c>
      <c r="M207">
        <v>10.210000000000001</v>
      </c>
      <c r="N207">
        <v>2</v>
      </c>
      <c r="O207">
        <v>2</v>
      </c>
      <c r="P207">
        <v>40.840000000000003</v>
      </c>
      <c r="Q207">
        <v>5.87</v>
      </c>
      <c r="R207">
        <v>34.97</v>
      </c>
      <c r="AC207" s="1">
        <v>42107</v>
      </c>
    </row>
    <row r="208" spans="1:29" x14ac:dyDescent="0.25">
      <c r="A208" t="s">
        <v>123</v>
      </c>
      <c r="D208" t="s">
        <v>1133</v>
      </c>
      <c r="E208" t="s">
        <v>2034</v>
      </c>
      <c r="F208" t="s">
        <v>2078</v>
      </c>
      <c r="G208" t="s">
        <v>2085</v>
      </c>
      <c r="H208" t="s">
        <v>2094</v>
      </c>
      <c r="I208" t="s">
        <v>2108</v>
      </c>
      <c r="J208">
        <v>3284</v>
      </c>
      <c r="K208">
        <v>17.2</v>
      </c>
      <c r="L208">
        <v>1</v>
      </c>
      <c r="M208">
        <v>9.57</v>
      </c>
      <c r="N208">
        <v>3</v>
      </c>
      <c r="O208">
        <v>14</v>
      </c>
      <c r="P208">
        <v>401.94</v>
      </c>
      <c r="Q208">
        <v>1.79</v>
      </c>
      <c r="R208">
        <v>400.15</v>
      </c>
      <c r="AC208" s="1">
        <v>40785</v>
      </c>
    </row>
    <row r="209" spans="1:29" x14ac:dyDescent="0.25">
      <c r="A209" t="s">
        <v>153</v>
      </c>
      <c r="D209" t="s">
        <v>1162</v>
      </c>
      <c r="E209" t="s">
        <v>1975</v>
      </c>
      <c r="F209" t="s">
        <v>2080</v>
      </c>
      <c r="G209" t="s">
        <v>2085</v>
      </c>
      <c r="H209" t="s">
        <v>2094</v>
      </c>
      <c r="I209" t="s">
        <v>2102</v>
      </c>
      <c r="J209">
        <v>621</v>
      </c>
      <c r="K209">
        <v>16.53</v>
      </c>
      <c r="L209">
        <v>4.8</v>
      </c>
      <c r="M209">
        <v>31.45</v>
      </c>
      <c r="N209">
        <v>1</v>
      </c>
      <c r="O209">
        <v>4</v>
      </c>
      <c r="P209">
        <v>125.8</v>
      </c>
      <c r="Q209">
        <v>1.58</v>
      </c>
      <c r="R209">
        <v>124.22</v>
      </c>
      <c r="AC209" s="1">
        <v>42268</v>
      </c>
    </row>
    <row r="210" spans="1:29" x14ac:dyDescent="0.25">
      <c r="A210" t="s">
        <v>536</v>
      </c>
      <c r="D210" t="s">
        <v>1530</v>
      </c>
      <c r="E210" t="s">
        <v>2055</v>
      </c>
      <c r="F210" t="s">
        <v>2075</v>
      </c>
      <c r="G210" t="s">
        <v>2085</v>
      </c>
      <c r="H210" t="s">
        <v>2094</v>
      </c>
      <c r="I210" t="s">
        <v>2108</v>
      </c>
      <c r="J210">
        <v>2963</v>
      </c>
      <c r="K210">
        <v>48.57</v>
      </c>
      <c r="L210">
        <v>4.5</v>
      </c>
      <c r="M210">
        <v>8.41</v>
      </c>
      <c r="N210">
        <v>2</v>
      </c>
      <c r="O210">
        <v>6</v>
      </c>
      <c r="P210">
        <v>100.92</v>
      </c>
      <c r="Q210">
        <v>5.37</v>
      </c>
      <c r="R210">
        <v>95.55</v>
      </c>
      <c r="AC210" s="1">
        <v>43349</v>
      </c>
    </row>
    <row r="211" spans="1:29" x14ac:dyDescent="0.25">
      <c r="A211" t="s">
        <v>719</v>
      </c>
      <c r="D211" t="s">
        <v>1698</v>
      </c>
      <c r="E211" t="s">
        <v>2050</v>
      </c>
      <c r="F211" t="s">
        <v>2081</v>
      </c>
      <c r="G211" t="s">
        <v>2085</v>
      </c>
      <c r="H211" t="s">
        <v>2096</v>
      </c>
      <c r="I211" t="s">
        <v>2098</v>
      </c>
      <c r="J211">
        <v>1809</v>
      </c>
      <c r="K211">
        <v>42.86</v>
      </c>
      <c r="L211">
        <v>1.6</v>
      </c>
      <c r="M211">
        <v>8.58</v>
      </c>
      <c r="N211">
        <v>2</v>
      </c>
      <c r="O211">
        <v>17</v>
      </c>
      <c r="P211">
        <v>291.72000000000003</v>
      </c>
      <c r="Q211">
        <v>6.42</v>
      </c>
      <c r="R211">
        <v>285.3</v>
      </c>
      <c r="AC211" s="1">
        <v>41498</v>
      </c>
    </row>
    <row r="212" spans="1:29" x14ac:dyDescent="0.25">
      <c r="A212" t="s">
        <v>776</v>
      </c>
      <c r="D212" t="s">
        <v>1752</v>
      </c>
      <c r="E212" t="s">
        <v>1992</v>
      </c>
      <c r="F212" t="s">
        <v>2076</v>
      </c>
      <c r="G212" t="s">
        <v>2085</v>
      </c>
      <c r="H212" t="s">
        <v>2092</v>
      </c>
      <c r="I212" t="s">
        <v>2104</v>
      </c>
      <c r="J212">
        <v>694</v>
      </c>
      <c r="K212">
        <v>27.42</v>
      </c>
      <c r="L212">
        <v>5</v>
      </c>
      <c r="M212">
        <v>27.46</v>
      </c>
      <c r="N212">
        <v>5</v>
      </c>
      <c r="O212">
        <v>11</v>
      </c>
      <c r="P212">
        <v>1510.3000000000002</v>
      </c>
      <c r="Q212">
        <v>3.98</v>
      </c>
      <c r="R212">
        <v>1506.32</v>
      </c>
      <c r="AC212" s="1">
        <v>42004</v>
      </c>
    </row>
    <row r="213" spans="1:29" x14ac:dyDescent="0.25">
      <c r="A213" t="s">
        <v>824</v>
      </c>
      <c r="D213" t="s">
        <v>1795</v>
      </c>
      <c r="E213" t="s">
        <v>1991</v>
      </c>
      <c r="F213" t="s">
        <v>2074</v>
      </c>
      <c r="G213" t="s">
        <v>2085</v>
      </c>
      <c r="H213" t="s">
        <v>2093</v>
      </c>
      <c r="I213" t="s">
        <v>2099</v>
      </c>
      <c r="J213">
        <v>2762</v>
      </c>
      <c r="K213">
        <v>11.3</v>
      </c>
      <c r="L213">
        <v>1.6</v>
      </c>
      <c r="M213">
        <v>31.23</v>
      </c>
      <c r="N213">
        <v>1</v>
      </c>
      <c r="O213">
        <v>1</v>
      </c>
      <c r="P213">
        <v>31.23</v>
      </c>
      <c r="Q213">
        <v>6.68</v>
      </c>
      <c r="R213">
        <v>24.55</v>
      </c>
      <c r="AC213" s="1">
        <v>42800</v>
      </c>
    </row>
    <row r="214" spans="1:29" x14ac:dyDescent="0.25">
      <c r="A214" t="s">
        <v>840</v>
      </c>
      <c r="D214" t="s">
        <v>1809</v>
      </c>
      <c r="E214" t="s">
        <v>2014</v>
      </c>
      <c r="F214" t="s">
        <v>2082</v>
      </c>
      <c r="G214" t="s">
        <v>2085</v>
      </c>
      <c r="H214" t="s">
        <v>2093</v>
      </c>
      <c r="I214" t="s">
        <v>2102</v>
      </c>
      <c r="J214">
        <v>2352</v>
      </c>
      <c r="K214">
        <v>6.13</v>
      </c>
      <c r="L214">
        <v>1.6</v>
      </c>
      <c r="M214">
        <v>32.020000000000003</v>
      </c>
      <c r="N214">
        <v>1</v>
      </c>
      <c r="O214">
        <v>4</v>
      </c>
      <c r="P214">
        <v>128.08000000000001</v>
      </c>
      <c r="Q214">
        <v>7.56</v>
      </c>
      <c r="R214">
        <v>120.52</v>
      </c>
      <c r="AC214" s="1">
        <v>41581</v>
      </c>
    </row>
    <row r="215" spans="1:29" x14ac:dyDescent="0.25">
      <c r="A215" t="s">
        <v>951</v>
      </c>
      <c r="D215" t="s">
        <v>1913</v>
      </c>
      <c r="E215" t="s">
        <v>2059</v>
      </c>
      <c r="F215" t="s">
        <v>2075</v>
      </c>
      <c r="G215" t="s">
        <v>2085</v>
      </c>
      <c r="H215" t="s">
        <v>2096</v>
      </c>
      <c r="I215" t="s">
        <v>2098</v>
      </c>
      <c r="J215">
        <v>4924</v>
      </c>
      <c r="K215">
        <v>19.940000000000001</v>
      </c>
      <c r="L215">
        <v>2.5</v>
      </c>
      <c r="M215">
        <v>13.25</v>
      </c>
      <c r="N215">
        <v>1</v>
      </c>
      <c r="O215">
        <v>10</v>
      </c>
      <c r="P215">
        <v>132.5</v>
      </c>
      <c r="Q215">
        <v>7.53</v>
      </c>
      <c r="R215">
        <v>124.97</v>
      </c>
      <c r="AC215" s="1">
        <v>40738</v>
      </c>
    </row>
    <row r="216" spans="1:29" x14ac:dyDescent="0.25">
      <c r="A216" t="s">
        <v>308</v>
      </c>
      <c r="D216" t="s">
        <v>1312</v>
      </c>
      <c r="E216" t="s">
        <v>2069</v>
      </c>
      <c r="F216" t="s">
        <v>2080</v>
      </c>
      <c r="G216" t="s">
        <v>2091</v>
      </c>
      <c r="H216" t="s">
        <v>2092</v>
      </c>
      <c r="I216" t="s">
        <v>2103</v>
      </c>
      <c r="J216">
        <v>1084</v>
      </c>
      <c r="K216">
        <v>25.06</v>
      </c>
      <c r="L216">
        <v>4.2</v>
      </c>
      <c r="M216">
        <v>6.09</v>
      </c>
      <c r="N216">
        <v>5</v>
      </c>
      <c r="O216">
        <v>5</v>
      </c>
      <c r="P216">
        <v>152.25</v>
      </c>
      <c r="Q216">
        <v>3.34</v>
      </c>
      <c r="R216">
        <v>148.91</v>
      </c>
      <c r="AC216" s="1">
        <v>42278</v>
      </c>
    </row>
    <row r="217" spans="1:29" x14ac:dyDescent="0.25">
      <c r="A217" t="s">
        <v>475</v>
      </c>
      <c r="D217" t="s">
        <v>1473</v>
      </c>
      <c r="E217" t="s">
        <v>2011</v>
      </c>
      <c r="F217" t="s">
        <v>2082</v>
      </c>
      <c r="G217" t="s">
        <v>2091</v>
      </c>
      <c r="H217" t="s">
        <v>2093</v>
      </c>
      <c r="I217" t="s">
        <v>2106</v>
      </c>
      <c r="J217">
        <v>658</v>
      </c>
      <c r="K217">
        <v>41.51</v>
      </c>
      <c r="L217">
        <v>3.6</v>
      </c>
      <c r="M217">
        <v>12.58</v>
      </c>
      <c r="N217">
        <v>4</v>
      </c>
      <c r="O217">
        <v>8</v>
      </c>
      <c r="P217">
        <v>402.56</v>
      </c>
      <c r="Q217">
        <v>8.9700000000000006</v>
      </c>
      <c r="R217">
        <v>393.59</v>
      </c>
      <c r="AC217" s="1">
        <v>41818</v>
      </c>
    </row>
    <row r="218" spans="1:29" x14ac:dyDescent="0.25">
      <c r="A218" t="s">
        <v>516</v>
      </c>
      <c r="D218" t="s">
        <v>1511</v>
      </c>
      <c r="E218" t="s">
        <v>1983</v>
      </c>
      <c r="F218" t="s">
        <v>2076</v>
      </c>
      <c r="G218" t="s">
        <v>2091</v>
      </c>
      <c r="H218" t="s">
        <v>2093</v>
      </c>
      <c r="I218" t="s">
        <v>2104</v>
      </c>
      <c r="J218">
        <v>1732</v>
      </c>
      <c r="K218">
        <v>14.74</v>
      </c>
      <c r="L218">
        <v>2.1</v>
      </c>
      <c r="M218">
        <v>13.93</v>
      </c>
      <c r="N218">
        <v>4</v>
      </c>
      <c r="O218">
        <v>17</v>
      </c>
      <c r="P218">
        <v>947.24</v>
      </c>
      <c r="Q218">
        <v>5.49</v>
      </c>
      <c r="R218">
        <v>941.75</v>
      </c>
      <c r="AC218" s="1">
        <v>41974</v>
      </c>
    </row>
    <row r="219" spans="1:29" x14ac:dyDescent="0.25">
      <c r="A219" t="s">
        <v>619</v>
      </c>
      <c r="D219" t="s">
        <v>1161</v>
      </c>
      <c r="E219" t="s">
        <v>2041</v>
      </c>
      <c r="F219" t="s">
        <v>2073</v>
      </c>
      <c r="G219" t="s">
        <v>2091</v>
      </c>
      <c r="H219" t="s">
        <v>2094</v>
      </c>
      <c r="I219" t="s">
        <v>2100</v>
      </c>
      <c r="J219">
        <v>3041</v>
      </c>
      <c r="K219">
        <v>34.93</v>
      </c>
      <c r="L219">
        <v>1.5</v>
      </c>
      <c r="M219">
        <v>14.17</v>
      </c>
      <c r="N219">
        <v>5</v>
      </c>
      <c r="O219">
        <v>5</v>
      </c>
      <c r="P219">
        <v>354.25</v>
      </c>
      <c r="Q219">
        <v>3.95</v>
      </c>
      <c r="R219">
        <v>350.3</v>
      </c>
      <c r="AC219" s="1">
        <v>42844</v>
      </c>
    </row>
    <row r="220" spans="1:29" x14ac:dyDescent="0.25">
      <c r="A220" t="s">
        <v>652</v>
      </c>
      <c r="D220" t="s">
        <v>1636</v>
      </c>
      <c r="E220" t="s">
        <v>2020</v>
      </c>
      <c r="F220" t="s">
        <v>2076</v>
      </c>
      <c r="G220" t="s">
        <v>2091</v>
      </c>
      <c r="H220" t="s">
        <v>2094</v>
      </c>
      <c r="I220" t="s">
        <v>2107</v>
      </c>
      <c r="J220">
        <v>3795</v>
      </c>
      <c r="K220">
        <v>13.86</v>
      </c>
      <c r="L220">
        <v>2.9</v>
      </c>
      <c r="M220">
        <v>35.69</v>
      </c>
      <c r="N220">
        <v>1</v>
      </c>
      <c r="O220">
        <v>1</v>
      </c>
      <c r="P220">
        <v>35.69</v>
      </c>
      <c r="Q220">
        <v>7.74</v>
      </c>
      <c r="R220">
        <v>27.95</v>
      </c>
      <c r="AC220" s="1">
        <v>41398</v>
      </c>
    </row>
    <row r="221" spans="1:29" x14ac:dyDescent="0.25">
      <c r="A221" t="s">
        <v>702</v>
      </c>
      <c r="D221" t="s">
        <v>1171</v>
      </c>
      <c r="E221" t="s">
        <v>1975</v>
      </c>
      <c r="F221" t="s">
        <v>2073</v>
      </c>
      <c r="G221" t="s">
        <v>2091</v>
      </c>
      <c r="H221" t="s">
        <v>2092</v>
      </c>
      <c r="I221" t="s">
        <v>2103</v>
      </c>
      <c r="J221">
        <v>156</v>
      </c>
      <c r="K221">
        <v>38.76</v>
      </c>
      <c r="L221">
        <v>2.2999999999999998</v>
      </c>
      <c r="M221">
        <v>36.39</v>
      </c>
      <c r="N221">
        <v>2</v>
      </c>
      <c r="O221">
        <v>11</v>
      </c>
      <c r="P221">
        <v>800.58</v>
      </c>
      <c r="Q221">
        <v>6</v>
      </c>
      <c r="R221">
        <v>794.58</v>
      </c>
      <c r="AC221" s="1">
        <v>41401</v>
      </c>
    </row>
    <row r="222" spans="1:29" x14ac:dyDescent="0.25">
      <c r="A222" t="s">
        <v>711</v>
      </c>
      <c r="D222" t="s">
        <v>1690</v>
      </c>
      <c r="E222" t="s">
        <v>2039</v>
      </c>
      <c r="F222" t="s">
        <v>2074</v>
      </c>
      <c r="G222" t="s">
        <v>2091</v>
      </c>
      <c r="H222" t="s">
        <v>2094</v>
      </c>
      <c r="I222" t="s">
        <v>2107</v>
      </c>
      <c r="J222">
        <v>478</v>
      </c>
      <c r="K222">
        <v>39.15</v>
      </c>
      <c r="L222">
        <v>2.6</v>
      </c>
      <c r="M222">
        <v>18.84</v>
      </c>
      <c r="N222">
        <v>5</v>
      </c>
      <c r="O222">
        <v>15</v>
      </c>
      <c r="P222">
        <v>1413</v>
      </c>
      <c r="Q222">
        <v>1.37</v>
      </c>
      <c r="R222">
        <v>1411.63</v>
      </c>
      <c r="AC222" s="1">
        <v>41367</v>
      </c>
    </row>
    <row r="223" spans="1:29" x14ac:dyDescent="0.25">
      <c r="A223" t="s">
        <v>733</v>
      </c>
      <c r="D223" t="s">
        <v>1136</v>
      </c>
      <c r="E223" t="s">
        <v>1973</v>
      </c>
      <c r="F223" t="s">
        <v>2078</v>
      </c>
      <c r="G223" t="s">
        <v>2091</v>
      </c>
      <c r="H223" t="s">
        <v>2094</v>
      </c>
      <c r="I223" t="s">
        <v>2102</v>
      </c>
      <c r="J223">
        <v>4457</v>
      </c>
      <c r="K223">
        <v>38.99</v>
      </c>
      <c r="L223">
        <v>1.3</v>
      </c>
      <c r="M223">
        <v>13.42</v>
      </c>
      <c r="N223">
        <v>1</v>
      </c>
      <c r="O223">
        <v>20</v>
      </c>
      <c r="P223">
        <v>268.39999999999998</v>
      </c>
      <c r="Q223">
        <v>4.26</v>
      </c>
      <c r="R223">
        <v>264.14</v>
      </c>
      <c r="AC223" s="1">
        <v>41030</v>
      </c>
    </row>
    <row r="224" spans="1:29" x14ac:dyDescent="0.25">
      <c r="A224" t="s">
        <v>759</v>
      </c>
      <c r="D224" t="s">
        <v>1735</v>
      </c>
      <c r="E224" t="s">
        <v>1988</v>
      </c>
      <c r="F224" t="s">
        <v>2082</v>
      </c>
      <c r="G224" t="s">
        <v>2091</v>
      </c>
      <c r="H224" t="s">
        <v>2094</v>
      </c>
      <c r="I224" t="s">
        <v>2098</v>
      </c>
      <c r="J224">
        <v>833</v>
      </c>
      <c r="K224">
        <v>35.15</v>
      </c>
      <c r="L224">
        <v>1.6</v>
      </c>
      <c r="M224">
        <v>25.75</v>
      </c>
      <c r="N224">
        <v>1</v>
      </c>
      <c r="O224">
        <v>19</v>
      </c>
      <c r="P224">
        <v>489.25</v>
      </c>
      <c r="Q224">
        <v>4.03</v>
      </c>
      <c r="R224">
        <v>485.22</v>
      </c>
      <c r="AC224" s="1">
        <v>42088</v>
      </c>
    </row>
    <row r="225" spans="1:29" x14ac:dyDescent="0.25">
      <c r="A225" t="s">
        <v>873</v>
      </c>
      <c r="D225" t="s">
        <v>1839</v>
      </c>
      <c r="E225" t="s">
        <v>2024</v>
      </c>
      <c r="F225" t="s">
        <v>2080</v>
      </c>
      <c r="G225" t="s">
        <v>2091</v>
      </c>
      <c r="H225" t="s">
        <v>2095</v>
      </c>
      <c r="I225" t="s">
        <v>2109</v>
      </c>
      <c r="J225">
        <v>623</v>
      </c>
      <c r="K225">
        <v>39.770000000000003</v>
      </c>
      <c r="L225">
        <v>1.8</v>
      </c>
      <c r="M225">
        <v>22.56</v>
      </c>
      <c r="N225">
        <v>3</v>
      </c>
      <c r="O225">
        <v>9</v>
      </c>
      <c r="P225">
        <v>609.11999999999989</v>
      </c>
      <c r="Q225">
        <v>9.1999999999999993</v>
      </c>
      <c r="R225">
        <v>599.91999999999996</v>
      </c>
      <c r="AC225" s="1">
        <v>42880</v>
      </c>
    </row>
    <row r="226" spans="1:29" x14ac:dyDescent="0.25">
      <c r="A226" t="s">
        <v>103</v>
      </c>
      <c r="D226" t="s">
        <v>1113</v>
      </c>
      <c r="E226" t="s">
        <v>2025</v>
      </c>
      <c r="F226" t="s">
        <v>2077</v>
      </c>
      <c r="G226" t="s">
        <v>2086</v>
      </c>
      <c r="H226" t="s">
        <v>2096</v>
      </c>
      <c r="I226" t="s">
        <v>2101</v>
      </c>
      <c r="J226">
        <v>1019</v>
      </c>
      <c r="K226">
        <v>32.76</v>
      </c>
      <c r="L226">
        <v>1.3</v>
      </c>
      <c r="M226">
        <v>21.29</v>
      </c>
      <c r="N226">
        <v>3</v>
      </c>
      <c r="O226">
        <v>4</v>
      </c>
      <c r="P226">
        <v>255.48</v>
      </c>
      <c r="Q226">
        <v>2.2200000000000002</v>
      </c>
      <c r="R226">
        <v>253.26</v>
      </c>
      <c r="AC226" s="1">
        <v>42141</v>
      </c>
    </row>
    <row r="227" spans="1:29" x14ac:dyDescent="0.25">
      <c r="A227" t="s">
        <v>120</v>
      </c>
      <c r="D227" t="s">
        <v>1130</v>
      </c>
      <c r="E227" t="s">
        <v>2033</v>
      </c>
      <c r="F227" t="s">
        <v>2073</v>
      </c>
      <c r="G227" t="s">
        <v>2086</v>
      </c>
      <c r="H227" t="s">
        <v>2092</v>
      </c>
      <c r="I227" t="s">
        <v>2106</v>
      </c>
      <c r="J227">
        <v>1595</v>
      </c>
      <c r="K227">
        <v>10.37</v>
      </c>
      <c r="L227">
        <v>4.4000000000000004</v>
      </c>
      <c r="M227">
        <v>26.2</v>
      </c>
      <c r="N227">
        <v>4</v>
      </c>
      <c r="O227">
        <v>20</v>
      </c>
      <c r="P227">
        <v>2096</v>
      </c>
      <c r="Q227">
        <v>3.21</v>
      </c>
      <c r="R227">
        <v>2092.79</v>
      </c>
      <c r="AC227" s="1">
        <v>41748</v>
      </c>
    </row>
    <row r="228" spans="1:29" x14ac:dyDescent="0.25">
      <c r="A228" t="s">
        <v>427</v>
      </c>
      <c r="D228" t="s">
        <v>1425</v>
      </c>
      <c r="E228" t="s">
        <v>2010</v>
      </c>
      <c r="F228" t="s">
        <v>2078</v>
      </c>
      <c r="G228" t="s">
        <v>2086</v>
      </c>
      <c r="H228" t="s">
        <v>2093</v>
      </c>
      <c r="I228" t="s">
        <v>2098</v>
      </c>
      <c r="J228">
        <v>709</v>
      </c>
      <c r="K228">
        <v>43.88</v>
      </c>
      <c r="L228">
        <v>3.4</v>
      </c>
      <c r="M228">
        <v>7.25</v>
      </c>
      <c r="N228">
        <v>3</v>
      </c>
      <c r="O228">
        <v>16</v>
      </c>
      <c r="P228">
        <v>348</v>
      </c>
      <c r="Q228">
        <v>4.16</v>
      </c>
      <c r="R228">
        <v>343.84</v>
      </c>
      <c r="AC228" s="1">
        <v>42762</v>
      </c>
    </row>
    <row r="229" spans="1:29" x14ac:dyDescent="0.25">
      <c r="A229" t="s">
        <v>530</v>
      </c>
      <c r="D229" t="s">
        <v>1525</v>
      </c>
      <c r="E229" t="s">
        <v>2010</v>
      </c>
      <c r="F229" t="s">
        <v>2075</v>
      </c>
      <c r="G229" t="s">
        <v>2086</v>
      </c>
      <c r="H229" t="s">
        <v>2094</v>
      </c>
      <c r="I229" t="s">
        <v>2108</v>
      </c>
      <c r="J229">
        <v>3593</v>
      </c>
      <c r="K229">
        <v>43.68</v>
      </c>
      <c r="L229">
        <v>4.8</v>
      </c>
      <c r="M229">
        <v>35.32</v>
      </c>
      <c r="N229">
        <v>5</v>
      </c>
      <c r="O229">
        <v>17</v>
      </c>
      <c r="P229">
        <v>3002.2</v>
      </c>
      <c r="Q229">
        <v>8.2200000000000006</v>
      </c>
      <c r="R229">
        <v>2993.98</v>
      </c>
      <c r="AC229" s="1">
        <v>41546</v>
      </c>
    </row>
    <row r="230" spans="1:29" x14ac:dyDescent="0.25">
      <c r="A230" t="s">
        <v>710</v>
      </c>
      <c r="D230" t="s">
        <v>1689</v>
      </c>
      <c r="E230" t="s">
        <v>1996</v>
      </c>
      <c r="F230" t="s">
        <v>2081</v>
      </c>
      <c r="G230" t="s">
        <v>2086</v>
      </c>
      <c r="H230" t="s">
        <v>2094</v>
      </c>
      <c r="I230" t="s">
        <v>2110</v>
      </c>
      <c r="J230">
        <v>1301</v>
      </c>
      <c r="K230">
        <v>18.079999999999998</v>
      </c>
      <c r="L230">
        <v>3.9</v>
      </c>
      <c r="M230">
        <v>33.18</v>
      </c>
      <c r="N230">
        <v>3</v>
      </c>
      <c r="O230">
        <v>15</v>
      </c>
      <c r="P230">
        <v>1493.1</v>
      </c>
      <c r="Q230">
        <v>9.49</v>
      </c>
      <c r="R230">
        <v>1483.61</v>
      </c>
      <c r="AC230" s="1">
        <v>41688</v>
      </c>
    </row>
    <row r="231" spans="1:29" x14ac:dyDescent="0.25">
      <c r="A231" t="s">
        <v>794</v>
      </c>
      <c r="D231" t="s">
        <v>1768</v>
      </c>
      <c r="E231" t="s">
        <v>2032</v>
      </c>
      <c r="F231" t="s">
        <v>2074</v>
      </c>
      <c r="G231" t="s">
        <v>2086</v>
      </c>
      <c r="H231" t="s">
        <v>2092</v>
      </c>
      <c r="I231" t="s">
        <v>2098</v>
      </c>
      <c r="J231">
        <v>2625</v>
      </c>
      <c r="K231">
        <v>46.41</v>
      </c>
      <c r="L231">
        <v>4.9000000000000004</v>
      </c>
      <c r="M231">
        <v>13.84</v>
      </c>
      <c r="N231">
        <v>4</v>
      </c>
      <c r="O231">
        <v>12</v>
      </c>
      <c r="P231">
        <v>664.31999999999994</v>
      </c>
      <c r="Q231">
        <v>2.65</v>
      </c>
      <c r="R231">
        <v>661.67</v>
      </c>
      <c r="AC231" s="1">
        <v>41584</v>
      </c>
    </row>
    <row r="232" spans="1:29" x14ac:dyDescent="0.25">
      <c r="A232" t="s">
        <v>880</v>
      </c>
      <c r="D232" t="s">
        <v>1846</v>
      </c>
      <c r="E232" t="s">
        <v>2002</v>
      </c>
      <c r="F232" t="s">
        <v>2074</v>
      </c>
      <c r="G232" t="s">
        <v>2086</v>
      </c>
      <c r="H232" t="s">
        <v>2093</v>
      </c>
      <c r="I232" t="s">
        <v>2106</v>
      </c>
      <c r="J232">
        <v>4267</v>
      </c>
      <c r="K232">
        <v>17.5</v>
      </c>
      <c r="L232">
        <v>1.2</v>
      </c>
      <c r="M232">
        <v>22.64</v>
      </c>
      <c r="N232">
        <v>3</v>
      </c>
      <c r="O232">
        <v>16</v>
      </c>
      <c r="P232">
        <v>1086.72</v>
      </c>
      <c r="Q232">
        <v>4.68</v>
      </c>
      <c r="R232">
        <v>1082.04</v>
      </c>
      <c r="AC232" s="1">
        <v>41746</v>
      </c>
    </row>
    <row r="233" spans="1:29" x14ac:dyDescent="0.25">
      <c r="A233" t="s">
        <v>896</v>
      </c>
      <c r="D233" t="s">
        <v>1861</v>
      </c>
      <c r="E233" t="s">
        <v>2018</v>
      </c>
      <c r="F233" t="s">
        <v>2081</v>
      </c>
      <c r="G233" t="s">
        <v>2086</v>
      </c>
      <c r="H233" t="s">
        <v>2096</v>
      </c>
      <c r="I233" t="s">
        <v>2111</v>
      </c>
      <c r="J233">
        <v>3175</v>
      </c>
      <c r="K233">
        <v>33.44</v>
      </c>
      <c r="L233">
        <v>1.1000000000000001</v>
      </c>
      <c r="M233">
        <v>36.5</v>
      </c>
      <c r="N233">
        <v>5</v>
      </c>
      <c r="O233">
        <v>15</v>
      </c>
      <c r="P233">
        <v>2737.5</v>
      </c>
      <c r="Q233">
        <v>4.29</v>
      </c>
      <c r="R233">
        <v>2733.21</v>
      </c>
      <c r="AC233" s="1">
        <v>41892</v>
      </c>
    </row>
    <row r="234" spans="1:29" x14ac:dyDescent="0.25">
      <c r="A234" t="s">
        <v>914</v>
      </c>
      <c r="D234" t="s">
        <v>1879</v>
      </c>
      <c r="E234" t="s">
        <v>2006</v>
      </c>
      <c r="F234" t="s">
        <v>2073</v>
      </c>
      <c r="G234" t="s">
        <v>2086</v>
      </c>
      <c r="H234" t="s">
        <v>2093</v>
      </c>
      <c r="I234" t="s">
        <v>2111</v>
      </c>
      <c r="J234">
        <v>990</v>
      </c>
      <c r="K234">
        <v>23.52</v>
      </c>
      <c r="L234">
        <v>4.4000000000000004</v>
      </c>
      <c r="M234">
        <v>25.83</v>
      </c>
      <c r="N234">
        <v>5</v>
      </c>
      <c r="O234">
        <v>10</v>
      </c>
      <c r="P234">
        <v>1291.4999999999998</v>
      </c>
      <c r="Q234">
        <v>7.86</v>
      </c>
      <c r="R234">
        <v>1283.6400000000001</v>
      </c>
      <c r="AC234" s="1">
        <v>40809</v>
      </c>
    </row>
    <row r="235" spans="1:29" x14ac:dyDescent="0.25">
      <c r="A235" t="s">
        <v>995</v>
      </c>
      <c r="D235" t="s">
        <v>1953</v>
      </c>
      <c r="E235" t="s">
        <v>2059</v>
      </c>
      <c r="F235" t="s">
        <v>2082</v>
      </c>
      <c r="G235" t="s">
        <v>2086</v>
      </c>
      <c r="H235" t="s">
        <v>2095</v>
      </c>
      <c r="I235" t="s">
        <v>2102</v>
      </c>
      <c r="J235">
        <v>4716</v>
      </c>
      <c r="K235">
        <v>49.65</v>
      </c>
      <c r="L235">
        <v>3.3</v>
      </c>
      <c r="M235">
        <v>30.7</v>
      </c>
      <c r="N235">
        <v>4</v>
      </c>
      <c r="O235">
        <v>16</v>
      </c>
      <c r="P235">
        <v>1964.8</v>
      </c>
      <c r="Q235">
        <v>9.2100000000000009</v>
      </c>
      <c r="R235">
        <v>1955.59</v>
      </c>
      <c r="AC235" s="1">
        <v>42843</v>
      </c>
    </row>
    <row r="236" spans="1:29" x14ac:dyDescent="0.25">
      <c r="A236" t="s">
        <v>195</v>
      </c>
      <c r="D236" t="s">
        <v>1204</v>
      </c>
      <c r="E236" t="s">
        <v>2054</v>
      </c>
      <c r="F236" t="s">
        <v>2078</v>
      </c>
      <c r="G236" t="s">
        <v>2089</v>
      </c>
      <c r="H236" t="s">
        <v>2093</v>
      </c>
      <c r="I236" t="s">
        <v>2110</v>
      </c>
      <c r="J236">
        <v>339</v>
      </c>
      <c r="K236">
        <v>6.85</v>
      </c>
      <c r="L236">
        <v>2.4</v>
      </c>
      <c r="M236">
        <v>6.61</v>
      </c>
      <c r="N236">
        <v>3</v>
      </c>
      <c r="O236">
        <v>16</v>
      </c>
      <c r="P236">
        <v>317.28000000000003</v>
      </c>
      <c r="Q236">
        <v>1.53</v>
      </c>
      <c r="R236">
        <v>315.75</v>
      </c>
      <c r="AC236" s="1">
        <v>43171</v>
      </c>
    </row>
    <row r="237" spans="1:29" x14ac:dyDescent="0.25">
      <c r="A237" t="s">
        <v>286</v>
      </c>
      <c r="D237" t="s">
        <v>1291</v>
      </c>
      <c r="E237" t="s">
        <v>2011</v>
      </c>
      <c r="F237" t="s">
        <v>2074</v>
      </c>
      <c r="G237" t="s">
        <v>2089</v>
      </c>
      <c r="H237" t="s">
        <v>2093</v>
      </c>
      <c r="I237" t="s">
        <v>2106</v>
      </c>
      <c r="J237">
        <v>1278</v>
      </c>
      <c r="K237">
        <v>40.729999999999997</v>
      </c>
      <c r="L237">
        <v>2.2000000000000002</v>
      </c>
      <c r="M237">
        <v>32.54</v>
      </c>
      <c r="N237">
        <v>1</v>
      </c>
      <c r="O237">
        <v>9</v>
      </c>
      <c r="P237">
        <v>292.86</v>
      </c>
      <c r="Q237">
        <v>9.36</v>
      </c>
      <c r="R237">
        <v>283.5</v>
      </c>
      <c r="AC237" s="1">
        <v>42443</v>
      </c>
    </row>
    <row r="238" spans="1:29" x14ac:dyDescent="0.25">
      <c r="A238" t="s">
        <v>363</v>
      </c>
      <c r="D238" t="s">
        <v>1365</v>
      </c>
      <c r="E238" t="s">
        <v>2040</v>
      </c>
      <c r="F238" t="s">
        <v>2082</v>
      </c>
      <c r="G238" t="s">
        <v>2089</v>
      </c>
      <c r="H238" t="s">
        <v>2094</v>
      </c>
      <c r="I238" t="s">
        <v>2105</v>
      </c>
      <c r="J238">
        <v>4275</v>
      </c>
      <c r="K238">
        <v>16.059999999999999</v>
      </c>
      <c r="L238">
        <v>3.8</v>
      </c>
      <c r="M238">
        <v>29.41</v>
      </c>
      <c r="N238">
        <v>3</v>
      </c>
      <c r="O238">
        <v>2</v>
      </c>
      <c r="P238">
        <v>176.46</v>
      </c>
      <c r="Q238">
        <v>3.03</v>
      </c>
      <c r="R238">
        <v>173.43</v>
      </c>
      <c r="AC238" s="1">
        <v>40262</v>
      </c>
    </row>
    <row r="239" spans="1:29" x14ac:dyDescent="0.25">
      <c r="A239" t="s">
        <v>378</v>
      </c>
      <c r="D239" t="s">
        <v>1379</v>
      </c>
      <c r="E239" t="s">
        <v>2040</v>
      </c>
      <c r="F239" t="s">
        <v>2079</v>
      </c>
      <c r="G239" t="s">
        <v>2089</v>
      </c>
      <c r="H239" t="s">
        <v>2095</v>
      </c>
      <c r="I239" t="s">
        <v>2100</v>
      </c>
      <c r="J239">
        <v>1362</v>
      </c>
      <c r="K239">
        <v>41.78</v>
      </c>
      <c r="L239">
        <v>4.2</v>
      </c>
      <c r="M239">
        <v>26.18</v>
      </c>
      <c r="N239">
        <v>4</v>
      </c>
      <c r="O239">
        <v>4</v>
      </c>
      <c r="P239">
        <v>418.88</v>
      </c>
      <c r="Q239">
        <v>8.1300000000000008</v>
      </c>
      <c r="R239">
        <v>410.75</v>
      </c>
      <c r="AC239" s="1">
        <v>42010</v>
      </c>
    </row>
    <row r="240" spans="1:29" x14ac:dyDescent="0.25">
      <c r="A240" t="s">
        <v>405</v>
      </c>
      <c r="D240" t="s">
        <v>1405</v>
      </c>
      <c r="E240" t="s">
        <v>2053</v>
      </c>
      <c r="F240" t="s">
        <v>2080</v>
      </c>
      <c r="G240" t="s">
        <v>2089</v>
      </c>
      <c r="H240" t="s">
        <v>2095</v>
      </c>
      <c r="I240" t="s">
        <v>2104</v>
      </c>
      <c r="J240">
        <v>4384</v>
      </c>
      <c r="K240">
        <v>11.1</v>
      </c>
      <c r="L240">
        <v>3.7</v>
      </c>
      <c r="M240">
        <v>39.520000000000003</v>
      </c>
      <c r="N240">
        <v>3</v>
      </c>
      <c r="O240">
        <v>3</v>
      </c>
      <c r="P240">
        <v>355.68</v>
      </c>
      <c r="Q240">
        <v>8.24</v>
      </c>
      <c r="R240">
        <v>347.44</v>
      </c>
      <c r="AC240" s="1">
        <v>42339</v>
      </c>
    </row>
    <row r="241" spans="1:29" x14ac:dyDescent="0.25">
      <c r="A241" t="s">
        <v>482</v>
      </c>
      <c r="D241" t="s">
        <v>1480</v>
      </c>
      <c r="E241" t="s">
        <v>2030</v>
      </c>
      <c r="F241" t="s">
        <v>2080</v>
      </c>
      <c r="G241" t="s">
        <v>2089</v>
      </c>
      <c r="H241" t="s">
        <v>2093</v>
      </c>
      <c r="I241" t="s">
        <v>2107</v>
      </c>
      <c r="J241">
        <v>3101</v>
      </c>
      <c r="K241">
        <v>36.24</v>
      </c>
      <c r="L241">
        <v>3.6</v>
      </c>
      <c r="M241">
        <v>33.700000000000003</v>
      </c>
      <c r="N241">
        <v>1</v>
      </c>
      <c r="O241">
        <v>7</v>
      </c>
      <c r="P241">
        <v>235.90000000000003</v>
      </c>
      <c r="Q241">
        <v>0.1</v>
      </c>
      <c r="R241">
        <v>235.8</v>
      </c>
      <c r="AC241" s="1">
        <v>42845</v>
      </c>
    </row>
    <row r="242" spans="1:29" x14ac:dyDescent="0.25">
      <c r="A242" t="s">
        <v>555</v>
      </c>
      <c r="D242" t="s">
        <v>1549</v>
      </c>
      <c r="E242" t="s">
        <v>1999</v>
      </c>
      <c r="F242" t="s">
        <v>2073</v>
      </c>
      <c r="G242" t="s">
        <v>2089</v>
      </c>
      <c r="H242" t="s">
        <v>2092</v>
      </c>
      <c r="I242" t="s">
        <v>2107</v>
      </c>
      <c r="J242">
        <v>3961</v>
      </c>
      <c r="K242">
        <v>22.68</v>
      </c>
      <c r="L242">
        <v>2.9</v>
      </c>
      <c r="M242">
        <v>15.25</v>
      </c>
      <c r="N242">
        <v>2</v>
      </c>
      <c r="O242">
        <v>17</v>
      </c>
      <c r="P242">
        <v>518.5</v>
      </c>
      <c r="Q242">
        <v>6.71</v>
      </c>
      <c r="R242">
        <v>511.79</v>
      </c>
      <c r="AC242" s="1">
        <v>41070</v>
      </c>
    </row>
    <row r="243" spans="1:29" x14ac:dyDescent="0.25">
      <c r="A243" t="s">
        <v>603</v>
      </c>
      <c r="D243" t="s">
        <v>1590</v>
      </c>
      <c r="E243" t="s">
        <v>1989</v>
      </c>
      <c r="F243" t="s">
        <v>2075</v>
      </c>
      <c r="G243" t="s">
        <v>2089</v>
      </c>
      <c r="H243" t="s">
        <v>2093</v>
      </c>
      <c r="I243" t="s">
        <v>2104</v>
      </c>
      <c r="J243">
        <v>3295</v>
      </c>
      <c r="K243">
        <v>49.51</v>
      </c>
      <c r="L243">
        <v>2.5</v>
      </c>
      <c r="M243">
        <v>22.38</v>
      </c>
      <c r="N243">
        <v>1</v>
      </c>
      <c r="O243">
        <v>8</v>
      </c>
      <c r="P243">
        <v>179.04</v>
      </c>
      <c r="Q243">
        <v>7.96</v>
      </c>
      <c r="R243">
        <v>171.08</v>
      </c>
      <c r="AC243" s="1">
        <v>41467</v>
      </c>
    </row>
    <row r="244" spans="1:29" x14ac:dyDescent="0.25">
      <c r="A244" t="s">
        <v>653</v>
      </c>
      <c r="D244" t="s">
        <v>1637</v>
      </c>
      <c r="E244" t="s">
        <v>1977</v>
      </c>
      <c r="F244" t="s">
        <v>2078</v>
      </c>
      <c r="G244" t="s">
        <v>2089</v>
      </c>
      <c r="H244" t="s">
        <v>2092</v>
      </c>
      <c r="I244" t="s">
        <v>2097</v>
      </c>
      <c r="J244">
        <v>3999</v>
      </c>
      <c r="K244">
        <v>22.59</v>
      </c>
      <c r="L244">
        <v>3.8</v>
      </c>
      <c r="M244">
        <v>12.51</v>
      </c>
      <c r="N244">
        <v>1</v>
      </c>
      <c r="O244">
        <v>8</v>
      </c>
      <c r="P244">
        <v>100.08</v>
      </c>
      <c r="Q244">
        <v>3.39</v>
      </c>
      <c r="R244">
        <v>96.69</v>
      </c>
      <c r="AC244" s="1">
        <v>41533</v>
      </c>
    </row>
    <row r="245" spans="1:29" x14ac:dyDescent="0.25">
      <c r="A245" t="s">
        <v>671</v>
      </c>
      <c r="D245" t="s">
        <v>1653</v>
      </c>
      <c r="E245" t="s">
        <v>2025</v>
      </c>
      <c r="F245" t="s">
        <v>2075</v>
      </c>
      <c r="G245" t="s">
        <v>2089</v>
      </c>
      <c r="H245" t="s">
        <v>2095</v>
      </c>
      <c r="I245" t="s">
        <v>2103</v>
      </c>
      <c r="J245">
        <v>3143</v>
      </c>
      <c r="K245">
        <v>48.57</v>
      </c>
      <c r="L245">
        <v>1.2</v>
      </c>
      <c r="M245">
        <v>18.27</v>
      </c>
      <c r="N245">
        <v>2</v>
      </c>
      <c r="O245">
        <v>11</v>
      </c>
      <c r="P245">
        <v>401.94</v>
      </c>
      <c r="Q245">
        <v>0.21</v>
      </c>
      <c r="R245">
        <v>401.73</v>
      </c>
      <c r="AC245" s="1">
        <v>40843</v>
      </c>
    </row>
    <row r="246" spans="1:29" x14ac:dyDescent="0.25">
      <c r="A246" t="s">
        <v>814</v>
      </c>
      <c r="D246" t="s">
        <v>1785</v>
      </c>
      <c r="E246" t="s">
        <v>2038</v>
      </c>
      <c r="F246" t="s">
        <v>2077</v>
      </c>
      <c r="G246" t="s">
        <v>2089</v>
      </c>
      <c r="H246" t="s">
        <v>2094</v>
      </c>
      <c r="I246" t="s">
        <v>2097</v>
      </c>
      <c r="J246">
        <v>1590</v>
      </c>
      <c r="K246">
        <v>10.96</v>
      </c>
      <c r="L246">
        <v>3.7</v>
      </c>
      <c r="M246">
        <v>22.11</v>
      </c>
      <c r="N246">
        <v>4</v>
      </c>
      <c r="O246">
        <v>2</v>
      </c>
      <c r="P246">
        <v>176.88</v>
      </c>
      <c r="Q246">
        <v>6.66</v>
      </c>
      <c r="R246">
        <v>170.22</v>
      </c>
      <c r="AC246" s="1">
        <v>40510</v>
      </c>
    </row>
    <row r="247" spans="1:29" x14ac:dyDescent="0.25">
      <c r="A247" t="s">
        <v>57</v>
      </c>
      <c r="D247" t="s">
        <v>1067</v>
      </c>
      <c r="E247" t="s">
        <v>2005</v>
      </c>
      <c r="F247" t="s">
        <v>2077</v>
      </c>
      <c r="G247" t="s">
        <v>2084</v>
      </c>
      <c r="H247" t="s">
        <v>2095</v>
      </c>
      <c r="I247" t="s">
        <v>2099</v>
      </c>
      <c r="J247">
        <v>997</v>
      </c>
      <c r="K247">
        <v>18.600000000000001</v>
      </c>
      <c r="L247">
        <v>2.7</v>
      </c>
      <c r="M247">
        <v>12.87</v>
      </c>
      <c r="N247">
        <v>3</v>
      </c>
      <c r="O247">
        <v>9</v>
      </c>
      <c r="P247">
        <v>347.49</v>
      </c>
      <c r="Q247">
        <v>3.95</v>
      </c>
      <c r="R247">
        <v>343.54</v>
      </c>
      <c r="AC247" s="1">
        <v>43375</v>
      </c>
    </row>
    <row r="248" spans="1:29" x14ac:dyDescent="0.25">
      <c r="A248" t="s">
        <v>150</v>
      </c>
      <c r="D248" t="s">
        <v>1159</v>
      </c>
      <c r="E248" t="s">
        <v>1995</v>
      </c>
      <c r="F248" t="s">
        <v>2081</v>
      </c>
      <c r="G248" t="s">
        <v>2084</v>
      </c>
      <c r="H248" t="s">
        <v>2094</v>
      </c>
      <c r="I248" t="s">
        <v>2101</v>
      </c>
      <c r="J248">
        <v>4732</v>
      </c>
      <c r="K248">
        <v>22.65</v>
      </c>
      <c r="L248">
        <v>4.9000000000000004</v>
      </c>
      <c r="M248">
        <v>21.3</v>
      </c>
      <c r="N248">
        <v>3</v>
      </c>
      <c r="O248">
        <v>20</v>
      </c>
      <c r="P248">
        <v>1278</v>
      </c>
      <c r="Q248">
        <v>3.87</v>
      </c>
      <c r="R248">
        <v>1274.1300000000001</v>
      </c>
      <c r="AC248" s="1">
        <v>42119</v>
      </c>
    </row>
    <row r="249" spans="1:29" x14ac:dyDescent="0.25">
      <c r="A249" t="s">
        <v>172</v>
      </c>
      <c r="D249" t="s">
        <v>1181</v>
      </c>
      <c r="E249" t="s">
        <v>2052</v>
      </c>
      <c r="F249" t="s">
        <v>2079</v>
      </c>
      <c r="G249" t="s">
        <v>2084</v>
      </c>
      <c r="H249" t="s">
        <v>2094</v>
      </c>
      <c r="I249" t="s">
        <v>2099</v>
      </c>
      <c r="J249">
        <v>976</v>
      </c>
      <c r="K249">
        <v>13.74</v>
      </c>
      <c r="L249">
        <v>2</v>
      </c>
      <c r="M249">
        <v>11.02</v>
      </c>
      <c r="N249">
        <v>4</v>
      </c>
      <c r="O249">
        <v>9</v>
      </c>
      <c r="P249">
        <v>396.71999999999997</v>
      </c>
      <c r="Q249">
        <v>0.68</v>
      </c>
      <c r="R249">
        <v>396.04</v>
      </c>
      <c r="AC249" s="1">
        <v>40669</v>
      </c>
    </row>
    <row r="250" spans="1:29" x14ac:dyDescent="0.25">
      <c r="A250" t="s">
        <v>241</v>
      </c>
      <c r="D250" t="s">
        <v>1248</v>
      </c>
      <c r="E250" t="s">
        <v>1986</v>
      </c>
      <c r="F250" t="s">
        <v>2082</v>
      </c>
      <c r="G250" t="s">
        <v>2084</v>
      </c>
      <c r="H250" t="s">
        <v>2094</v>
      </c>
      <c r="I250" t="s">
        <v>2105</v>
      </c>
      <c r="J250">
        <v>3185</v>
      </c>
      <c r="K250">
        <v>18.64</v>
      </c>
      <c r="L250">
        <v>1.7</v>
      </c>
      <c r="M250">
        <v>12.17</v>
      </c>
      <c r="N250">
        <v>2</v>
      </c>
      <c r="O250">
        <v>19</v>
      </c>
      <c r="P250">
        <v>462.46</v>
      </c>
      <c r="Q250">
        <v>4.4800000000000004</v>
      </c>
      <c r="R250">
        <v>457.98</v>
      </c>
      <c r="AC250" s="1">
        <v>40220</v>
      </c>
    </row>
    <row r="251" spans="1:29" x14ac:dyDescent="0.25">
      <c r="A251" t="s">
        <v>281</v>
      </c>
      <c r="D251" t="s">
        <v>1286</v>
      </c>
      <c r="E251" t="s">
        <v>1999</v>
      </c>
      <c r="F251" t="s">
        <v>2080</v>
      </c>
      <c r="G251" t="s">
        <v>2084</v>
      </c>
      <c r="H251" t="s">
        <v>2094</v>
      </c>
      <c r="I251" t="s">
        <v>2105</v>
      </c>
      <c r="J251">
        <v>4098</v>
      </c>
      <c r="K251">
        <v>49.66</v>
      </c>
      <c r="L251">
        <v>1.1000000000000001</v>
      </c>
      <c r="M251">
        <v>21.35</v>
      </c>
      <c r="N251">
        <v>4</v>
      </c>
      <c r="O251">
        <v>11</v>
      </c>
      <c r="P251">
        <v>939.40000000000009</v>
      </c>
      <c r="Q251">
        <v>7.28</v>
      </c>
      <c r="R251">
        <v>932.12</v>
      </c>
      <c r="AC251" s="1">
        <v>42799</v>
      </c>
    </row>
    <row r="252" spans="1:29" x14ac:dyDescent="0.25">
      <c r="A252" t="s">
        <v>359</v>
      </c>
      <c r="D252" t="s">
        <v>1361</v>
      </c>
      <c r="E252" t="s">
        <v>2048</v>
      </c>
      <c r="F252" t="s">
        <v>2082</v>
      </c>
      <c r="G252" t="s">
        <v>2084</v>
      </c>
      <c r="H252" t="s">
        <v>2095</v>
      </c>
      <c r="I252" t="s">
        <v>2099</v>
      </c>
      <c r="J252">
        <v>4678</v>
      </c>
      <c r="K252">
        <v>17.54</v>
      </c>
      <c r="L252">
        <v>4.4000000000000004</v>
      </c>
      <c r="M252">
        <v>22.6</v>
      </c>
      <c r="N252">
        <v>3</v>
      </c>
      <c r="O252">
        <v>16</v>
      </c>
      <c r="P252">
        <v>1084.8000000000002</v>
      </c>
      <c r="Q252">
        <v>5.82</v>
      </c>
      <c r="R252">
        <v>1078.98</v>
      </c>
      <c r="AC252" s="1">
        <v>42221</v>
      </c>
    </row>
    <row r="253" spans="1:29" x14ac:dyDescent="0.25">
      <c r="A253" t="s">
        <v>370</v>
      </c>
      <c r="D253" t="s">
        <v>1372</v>
      </c>
      <c r="E253" t="s">
        <v>2058</v>
      </c>
      <c r="F253" t="s">
        <v>2073</v>
      </c>
      <c r="G253" t="s">
        <v>2084</v>
      </c>
      <c r="H253" t="s">
        <v>2093</v>
      </c>
      <c r="I253" t="s">
        <v>2110</v>
      </c>
      <c r="J253">
        <v>1159</v>
      </c>
      <c r="K253">
        <v>32.840000000000003</v>
      </c>
      <c r="L253">
        <v>3.4</v>
      </c>
      <c r="M253">
        <v>13.17</v>
      </c>
      <c r="N253">
        <v>1</v>
      </c>
      <c r="O253">
        <v>17</v>
      </c>
      <c r="P253">
        <v>223.89</v>
      </c>
      <c r="Q253">
        <v>2.04</v>
      </c>
      <c r="R253">
        <v>221.85</v>
      </c>
      <c r="AC253" s="1">
        <v>41788</v>
      </c>
    </row>
    <row r="254" spans="1:29" x14ac:dyDescent="0.25">
      <c r="A254" t="s">
        <v>460</v>
      </c>
      <c r="D254" t="s">
        <v>1458</v>
      </c>
      <c r="E254" t="s">
        <v>1986</v>
      </c>
      <c r="F254" t="s">
        <v>2081</v>
      </c>
      <c r="G254" t="s">
        <v>2084</v>
      </c>
      <c r="H254" t="s">
        <v>2096</v>
      </c>
      <c r="I254" t="s">
        <v>2105</v>
      </c>
      <c r="J254">
        <v>4979</v>
      </c>
      <c r="K254">
        <v>35.46</v>
      </c>
      <c r="L254">
        <v>4.4000000000000004</v>
      </c>
      <c r="M254">
        <v>9.32</v>
      </c>
      <c r="N254">
        <v>5</v>
      </c>
      <c r="O254">
        <v>4</v>
      </c>
      <c r="P254">
        <v>186.4</v>
      </c>
      <c r="Q254">
        <v>5.6</v>
      </c>
      <c r="R254">
        <v>180.8</v>
      </c>
      <c r="AC254" s="1">
        <v>42863</v>
      </c>
    </row>
    <row r="255" spans="1:29" x14ac:dyDescent="0.25">
      <c r="A255" t="s">
        <v>500</v>
      </c>
      <c r="D255" t="s">
        <v>1496</v>
      </c>
      <c r="E255" t="s">
        <v>2048</v>
      </c>
      <c r="F255" t="s">
        <v>2082</v>
      </c>
      <c r="G255" t="s">
        <v>2084</v>
      </c>
      <c r="H255" t="s">
        <v>2094</v>
      </c>
      <c r="I255" t="s">
        <v>2100</v>
      </c>
      <c r="J255">
        <v>2388</v>
      </c>
      <c r="K255">
        <v>19.16</v>
      </c>
      <c r="L255">
        <v>2.5</v>
      </c>
      <c r="M255">
        <v>5.42</v>
      </c>
      <c r="N255">
        <v>4</v>
      </c>
      <c r="O255">
        <v>19</v>
      </c>
      <c r="P255">
        <v>411.92</v>
      </c>
      <c r="Q255">
        <v>8.6300000000000008</v>
      </c>
      <c r="R255">
        <v>403.29</v>
      </c>
      <c r="AC255" s="1">
        <v>42220</v>
      </c>
    </row>
    <row r="256" spans="1:29" x14ac:dyDescent="0.25">
      <c r="A256" t="s">
        <v>520</v>
      </c>
      <c r="D256" t="s">
        <v>1515</v>
      </c>
      <c r="E256" t="s">
        <v>2059</v>
      </c>
      <c r="F256" t="s">
        <v>2075</v>
      </c>
      <c r="G256" t="s">
        <v>2084</v>
      </c>
      <c r="H256" t="s">
        <v>2092</v>
      </c>
      <c r="I256" t="s">
        <v>2100</v>
      </c>
      <c r="J256">
        <v>4666</v>
      </c>
      <c r="K256">
        <v>40.33</v>
      </c>
      <c r="L256">
        <v>2.8</v>
      </c>
      <c r="M256">
        <v>10.63</v>
      </c>
      <c r="N256">
        <v>1</v>
      </c>
      <c r="O256">
        <v>11</v>
      </c>
      <c r="P256">
        <v>116.93</v>
      </c>
      <c r="Q256">
        <v>4.51</v>
      </c>
      <c r="R256">
        <v>112.42</v>
      </c>
      <c r="AC256" s="1">
        <v>40925</v>
      </c>
    </row>
    <row r="257" spans="1:29" x14ac:dyDescent="0.25">
      <c r="A257" t="s">
        <v>522</v>
      </c>
      <c r="D257" t="s">
        <v>1517</v>
      </c>
      <c r="E257" t="s">
        <v>2013</v>
      </c>
      <c r="F257" t="s">
        <v>2077</v>
      </c>
      <c r="G257" t="s">
        <v>2084</v>
      </c>
      <c r="H257" t="s">
        <v>2096</v>
      </c>
      <c r="I257" t="s">
        <v>2100</v>
      </c>
      <c r="J257">
        <v>2785</v>
      </c>
      <c r="K257">
        <v>23.61</v>
      </c>
      <c r="L257">
        <v>4.5999999999999996</v>
      </c>
      <c r="M257">
        <v>13.38</v>
      </c>
      <c r="N257">
        <v>3</v>
      </c>
      <c r="O257">
        <v>12</v>
      </c>
      <c r="P257">
        <v>481.68</v>
      </c>
      <c r="Q257">
        <v>2.96</v>
      </c>
      <c r="R257">
        <v>478.72</v>
      </c>
      <c r="AC257" s="1">
        <v>43005</v>
      </c>
    </row>
    <row r="258" spans="1:29" x14ac:dyDescent="0.25">
      <c r="A258" t="s">
        <v>645</v>
      </c>
      <c r="D258" t="s">
        <v>1630</v>
      </c>
      <c r="E258" t="s">
        <v>2004</v>
      </c>
      <c r="F258" t="s">
        <v>2078</v>
      </c>
      <c r="G258" t="s">
        <v>2084</v>
      </c>
      <c r="H258" t="s">
        <v>2094</v>
      </c>
      <c r="I258" t="s">
        <v>2105</v>
      </c>
      <c r="J258">
        <v>1412</v>
      </c>
      <c r="K258">
        <v>14.94</v>
      </c>
      <c r="L258">
        <v>4.7</v>
      </c>
      <c r="M258">
        <v>22.07</v>
      </c>
      <c r="N258">
        <v>5</v>
      </c>
      <c r="O258">
        <v>19</v>
      </c>
      <c r="P258">
        <v>2096.65</v>
      </c>
      <c r="Q258">
        <v>9.52</v>
      </c>
      <c r="R258">
        <v>2087.13</v>
      </c>
      <c r="AC258" s="1">
        <v>40983</v>
      </c>
    </row>
    <row r="259" spans="1:29" x14ac:dyDescent="0.25">
      <c r="A259" t="s">
        <v>799</v>
      </c>
      <c r="D259" t="s">
        <v>1617</v>
      </c>
      <c r="E259" t="s">
        <v>1985</v>
      </c>
      <c r="F259" t="s">
        <v>2077</v>
      </c>
      <c r="G259" t="s">
        <v>2084</v>
      </c>
      <c r="H259" t="s">
        <v>2093</v>
      </c>
      <c r="I259" t="s">
        <v>2106</v>
      </c>
      <c r="J259">
        <v>3711</v>
      </c>
      <c r="K259">
        <v>25.23</v>
      </c>
      <c r="L259">
        <v>4.5999999999999996</v>
      </c>
      <c r="M259">
        <v>19.670000000000002</v>
      </c>
      <c r="N259">
        <v>5</v>
      </c>
      <c r="O259">
        <v>5</v>
      </c>
      <c r="P259">
        <v>491.75000000000006</v>
      </c>
      <c r="Q259">
        <v>6.94</v>
      </c>
      <c r="R259">
        <v>484.81</v>
      </c>
      <c r="AC259" s="1">
        <v>40521</v>
      </c>
    </row>
    <row r="260" spans="1:29" x14ac:dyDescent="0.25">
      <c r="A260" t="s">
        <v>859</v>
      </c>
      <c r="D260" t="s">
        <v>1827</v>
      </c>
      <c r="E260" t="s">
        <v>1992</v>
      </c>
      <c r="F260" t="s">
        <v>2073</v>
      </c>
      <c r="G260" t="s">
        <v>2084</v>
      </c>
      <c r="H260" t="s">
        <v>2094</v>
      </c>
      <c r="I260" t="s">
        <v>2101</v>
      </c>
      <c r="J260">
        <v>4576</v>
      </c>
      <c r="K260">
        <v>5.76</v>
      </c>
      <c r="L260">
        <v>3.7</v>
      </c>
      <c r="M260">
        <v>9.31</v>
      </c>
      <c r="N260">
        <v>2</v>
      </c>
      <c r="O260">
        <v>14</v>
      </c>
      <c r="P260">
        <v>260.68</v>
      </c>
      <c r="Q260">
        <v>0.36</v>
      </c>
      <c r="R260">
        <v>260.32</v>
      </c>
      <c r="AC260" s="1">
        <v>42099</v>
      </c>
    </row>
    <row r="261" spans="1:29" x14ac:dyDescent="0.25">
      <c r="A261" t="s">
        <v>947</v>
      </c>
      <c r="D261" t="s">
        <v>1910</v>
      </c>
      <c r="E261" t="s">
        <v>2022</v>
      </c>
      <c r="F261" t="s">
        <v>2074</v>
      </c>
      <c r="G261" t="s">
        <v>2084</v>
      </c>
      <c r="H261" t="s">
        <v>2094</v>
      </c>
      <c r="I261" t="s">
        <v>2101</v>
      </c>
      <c r="J261">
        <v>567</v>
      </c>
      <c r="K261">
        <v>29.01</v>
      </c>
      <c r="L261">
        <v>3.8</v>
      </c>
      <c r="M261">
        <v>28.2</v>
      </c>
      <c r="N261">
        <v>2</v>
      </c>
      <c r="O261">
        <v>11</v>
      </c>
      <c r="P261">
        <v>620.4</v>
      </c>
      <c r="Q261">
        <v>6.44</v>
      </c>
      <c r="R261">
        <v>613.96</v>
      </c>
      <c r="AC261" s="1">
        <v>42043</v>
      </c>
    </row>
    <row r="262" spans="1:29" x14ac:dyDescent="0.25">
      <c r="A262" t="s">
        <v>224</v>
      </c>
      <c r="D262" t="s">
        <v>1233</v>
      </c>
      <c r="E262" t="s">
        <v>2000</v>
      </c>
      <c r="F262" t="s">
        <v>2074</v>
      </c>
      <c r="G262" t="s">
        <v>2090</v>
      </c>
      <c r="H262" t="s">
        <v>2096</v>
      </c>
      <c r="I262" t="s">
        <v>2108</v>
      </c>
      <c r="J262">
        <v>2810</v>
      </c>
      <c r="K262">
        <v>24.15</v>
      </c>
      <c r="L262">
        <v>3</v>
      </c>
      <c r="M262">
        <v>12.47</v>
      </c>
      <c r="N262">
        <v>1</v>
      </c>
      <c r="O262">
        <v>1</v>
      </c>
      <c r="P262">
        <v>12.47</v>
      </c>
      <c r="Q262">
        <v>7.82</v>
      </c>
      <c r="R262">
        <v>4.6500000000000004</v>
      </c>
      <c r="AC262" s="1">
        <v>40446</v>
      </c>
    </row>
    <row r="263" spans="1:29" x14ac:dyDescent="0.25">
      <c r="A263" t="s">
        <v>262</v>
      </c>
      <c r="D263" t="s">
        <v>1269</v>
      </c>
      <c r="E263" t="s">
        <v>2012</v>
      </c>
      <c r="F263" t="s">
        <v>2075</v>
      </c>
      <c r="G263" t="s">
        <v>2090</v>
      </c>
      <c r="H263" t="s">
        <v>2094</v>
      </c>
      <c r="I263" t="s">
        <v>2098</v>
      </c>
      <c r="J263">
        <v>4962</v>
      </c>
      <c r="K263">
        <v>41.36</v>
      </c>
      <c r="L263">
        <v>3.9</v>
      </c>
      <c r="M263">
        <v>14.14</v>
      </c>
      <c r="N263">
        <v>4</v>
      </c>
      <c r="O263">
        <v>4</v>
      </c>
      <c r="P263">
        <v>226.24</v>
      </c>
      <c r="Q263">
        <v>1.9</v>
      </c>
      <c r="R263">
        <v>224.34</v>
      </c>
      <c r="AC263" s="1">
        <v>41166</v>
      </c>
    </row>
    <row r="264" spans="1:29" x14ac:dyDescent="0.25">
      <c r="A264" t="s">
        <v>383</v>
      </c>
      <c r="D264" t="s">
        <v>1384</v>
      </c>
      <c r="E264" t="s">
        <v>2021</v>
      </c>
      <c r="F264" t="s">
        <v>2079</v>
      </c>
      <c r="G264" t="s">
        <v>2090</v>
      </c>
      <c r="H264" t="s">
        <v>2094</v>
      </c>
      <c r="I264" t="s">
        <v>2105</v>
      </c>
      <c r="J264">
        <v>1756</v>
      </c>
      <c r="K264">
        <v>28.95</v>
      </c>
      <c r="L264">
        <v>1.4</v>
      </c>
      <c r="M264">
        <v>5.62</v>
      </c>
      <c r="N264">
        <v>1</v>
      </c>
      <c r="O264">
        <v>12</v>
      </c>
      <c r="P264">
        <v>67.44</v>
      </c>
      <c r="Q264">
        <v>7.31</v>
      </c>
      <c r="R264">
        <v>60.13</v>
      </c>
      <c r="AC264" s="1">
        <v>42328</v>
      </c>
    </row>
    <row r="265" spans="1:29" x14ac:dyDescent="0.25">
      <c r="A265" t="s">
        <v>573</v>
      </c>
      <c r="D265" t="s">
        <v>1564</v>
      </c>
      <c r="E265" t="s">
        <v>1986</v>
      </c>
      <c r="F265" t="s">
        <v>2081</v>
      </c>
      <c r="G265" t="s">
        <v>2090</v>
      </c>
      <c r="H265" t="s">
        <v>2096</v>
      </c>
      <c r="I265" t="s">
        <v>2099</v>
      </c>
      <c r="J265">
        <v>4323</v>
      </c>
      <c r="K265">
        <v>10.11</v>
      </c>
      <c r="L265">
        <v>1.2</v>
      </c>
      <c r="M265">
        <v>6.07</v>
      </c>
      <c r="N265">
        <v>1</v>
      </c>
      <c r="O265">
        <v>11</v>
      </c>
      <c r="P265">
        <v>66.77000000000001</v>
      </c>
      <c r="Q265">
        <v>2.4</v>
      </c>
      <c r="R265">
        <v>64.37</v>
      </c>
      <c r="AC265" s="1">
        <v>40928</v>
      </c>
    </row>
    <row r="266" spans="1:29" x14ac:dyDescent="0.25">
      <c r="A266" t="s">
        <v>629</v>
      </c>
      <c r="D266" t="s">
        <v>1614</v>
      </c>
      <c r="E266" t="s">
        <v>2022</v>
      </c>
      <c r="F266" t="s">
        <v>2074</v>
      </c>
      <c r="G266" t="s">
        <v>2090</v>
      </c>
      <c r="H266" t="s">
        <v>2092</v>
      </c>
      <c r="I266" t="s">
        <v>2103</v>
      </c>
      <c r="J266">
        <v>3890</v>
      </c>
      <c r="K266">
        <v>30.92</v>
      </c>
      <c r="L266">
        <v>3.7</v>
      </c>
      <c r="M266">
        <v>11.13</v>
      </c>
      <c r="N266">
        <v>1</v>
      </c>
      <c r="O266">
        <v>4</v>
      </c>
      <c r="P266">
        <v>44.52</v>
      </c>
      <c r="Q266">
        <v>4.0599999999999996</v>
      </c>
      <c r="R266">
        <v>40.46</v>
      </c>
      <c r="AC266" s="1">
        <v>41651</v>
      </c>
    </row>
    <row r="267" spans="1:29" x14ac:dyDescent="0.25">
      <c r="A267" t="s">
        <v>644</v>
      </c>
      <c r="D267" t="s">
        <v>1629</v>
      </c>
      <c r="E267" t="s">
        <v>2070</v>
      </c>
      <c r="F267" t="s">
        <v>2076</v>
      </c>
      <c r="G267" t="s">
        <v>2090</v>
      </c>
      <c r="H267" t="s">
        <v>2094</v>
      </c>
      <c r="I267" t="s">
        <v>2097</v>
      </c>
      <c r="J267">
        <v>1388</v>
      </c>
      <c r="K267">
        <v>31.75</v>
      </c>
      <c r="L267">
        <v>4.4000000000000004</v>
      </c>
      <c r="M267">
        <v>14.02</v>
      </c>
      <c r="N267">
        <v>2</v>
      </c>
      <c r="O267">
        <v>17</v>
      </c>
      <c r="P267">
        <v>476.68</v>
      </c>
      <c r="Q267">
        <v>3.71</v>
      </c>
      <c r="R267">
        <v>472.97</v>
      </c>
      <c r="AC267" s="1">
        <v>40531</v>
      </c>
    </row>
    <row r="268" spans="1:29" x14ac:dyDescent="0.25">
      <c r="A268" t="s">
        <v>723</v>
      </c>
      <c r="D268" t="s">
        <v>1702</v>
      </c>
      <c r="E268" t="s">
        <v>1996</v>
      </c>
      <c r="F268" t="s">
        <v>2078</v>
      </c>
      <c r="G268" t="s">
        <v>2090</v>
      </c>
      <c r="H268" t="s">
        <v>2096</v>
      </c>
      <c r="I268" t="s">
        <v>2105</v>
      </c>
      <c r="J268">
        <v>4195</v>
      </c>
      <c r="K268">
        <v>40.08</v>
      </c>
      <c r="L268">
        <v>1.8</v>
      </c>
      <c r="M268">
        <v>8.1300000000000008</v>
      </c>
      <c r="N268">
        <v>4</v>
      </c>
      <c r="O268">
        <v>16</v>
      </c>
      <c r="P268">
        <v>520.32000000000005</v>
      </c>
      <c r="Q268">
        <v>3.85</v>
      </c>
      <c r="R268">
        <v>516.47</v>
      </c>
      <c r="AC268" s="1">
        <v>42530</v>
      </c>
    </row>
    <row r="269" spans="1:29" x14ac:dyDescent="0.25">
      <c r="A269" t="s">
        <v>53</v>
      </c>
      <c r="D269" t="s">
        <v>1063</v>
      </c>
      <c r="E269" t="s">
        <v>1977</v>
      </c>
      <c r="F269" t="s">
        <v>2079</v>
      </c>
      <c r="G269" t="s">
        <v>2083</v>
      </c>
      <c r="H269" t="s">
        <v>2093</v>
      </c>
      <c r="I269" t="s">
        <v>2106</v>
      </c>
      <c r="J269">
        <v>3609</v>
      </c>
      <c r="K269">
        <v>23.95</v>
      </c>
      <c r="L269">
        <v>4.9000000000000004</v>
      </c>
      <c r="M269">
        <v>22.83</v>
      </c>
      <c r="N269">
        <v>4</v>
      </c>
      <c r="O269">
        <v>11</v>
      </c>
      <c r="P269">
        <v>1004.52</v>
      </c>
      <c r="Q269">
        <v>1.19</v>
      </c>
      <c r="R269">
        <v>1003.33</v>
      </c>
      <c r="AC269" s="1">
        <v>41797</v>
      </c>
    </row>
    <row r="270" spans="1:29" x14ac:dyDescent="0.25">
      <c r="A270" t="s">
        <v>79</v>
      </c>
      <c r="D270" t="s">
        <v>1089</v>
      </c>
      <c r="E270" t="s">
        <v>1987</v>
      </c>
      <c r="F270" t="s">
        <v>2078</v>
      </c>
      <c r="G270" t="s">
        <v>2083</v>
      </c>
      <c r="H270" t="s">
        <v>2093</v>
      </c>
      <c r="I270" t="s">
        <v>2099</v>
      </c>
      <c r="J270">
        <v>3305</v>
      </c>
      <c r="K270">
        <v>7.93</v>
      </c>
      <c r="L270">
        <v>2.5</v>
      </c>
      <c r="M270">
        <v>29.37</v>
      </c>
      <c r="N270">
        <v>2</v>
      </c>
      <c r="O270">
        <v>16</v>
      </c>
      <c r="P270">
        <v>939.84</v>
      </c>
      <c r="Q270">
        <v>4.9000000000000004</v>
      </c>
      <c r="R270">
        <v>934.94</v>
      </c>
      <c r="AC270" s="1">
        <v>43255</v>
      </c>
    </row>
    <row r="271" spans="1:29" x14ac:dyDescent="0.25">
      <c r="A271" t="s">
        <v>143</v>
      </c>
      <c r="D271" t="s">
        <v>1152</v>
      </c>
      <c r="E271" t="s">
        <v>2002</v>
      </c>
      <c r="F271" t="s">
        <v>2076</v>
      </c>
      <c r="G271" t="s">
        <v>2083</v>
      </c>
      <c r="H271" t="s">
        <v>2094</v>
      </c>
      <c r="I271" t="s">
        <v>2106</v>
      </c>
      <c r="J271">
        <v>4416</v>
      </c>
      <c r="K271">
        <v>34.380000000000003</v>
      </c>
      <c r="L271">
        <v>3</v>
      </c>
      <c r="M271">
        <v>17.38</v>
      </c>
      <c r="N271">
        <v>3</v>
      </c>
      <c r="O271">
        <v>1</v>
      </c>
      <c r="P271">
        <v>52.14</v>
      </c>
      <c r="Q271">
        <v>6.09</v>
      </c>
      <c r="R271">
        <v>46.05</v>
      </c>
      <c r="AC271" s="1">
        <v>42422</v>
      </c>
    </row>
    <row r="272" spans="1:29" x14ac:dyDescent="0.25">
      <c r="A272" t="s">
        <v>232</v>
      </c>
      <c r="D272" t="s">
        <v>1127</v>
      </c>
      <c r="E272" t="s">
        <v>1999</v>
      </c>
      <c r="F272" t="s">
        <v>2078</v>
      </c>
      <c r="G272" t="s">
        <v>2083</v>
      </c>
      <c r="H272" t="s">
        <v>2093</v>
      </c>
      <c r="I272" t="s">
        <v>2108</v>
      </c>
      <c r="J272">
        <v>1220</v>
      </c>
      <c r="K272">
        <v>41.79</v>
      </c>
      <c r="L272">
        <v>3.1</v>
      </c>
      <c r="M272">
        <v>27.24</v>
      </c>
      <c r="N272">
        <v>1</v>
      </c>
      <c r="O272">
        <v>5</v>
      </c>
      <c r="P272">
        <v>136.19999999999999</v>
      </c>
      <c r="Q272">
        <v>3.14</v>
      </c>
      <c r="R272">
        <v>133.06</v>
      </c>
      <c r="AC272" s="1">
        <v>42439</v>
      </c>
    </row>
    <row r="273" spans="1:29" x14ac:dyDescent="0.25">
      <c r="A273" t="s">
        <v>319</v>
      </c>
      <c r="D273" t="s">
        <v>1322</v>
      </c>
      <c r="E273" t="s">
        <v>2037</v>
      </c>
      <c r="F273" t="s">
        <v>2078</v>
      </c>
      <c r="G273" t="s">
        <v>2083</v>
      </c>
      <c r="H273" t="s">
        <v>2096</v>
      </c>
      <c r="I273" t="s">
        <v>2106</v>
      </c>
      <c r="J273">
        <v>4252</v>
      </c>
      <c r="K273">
        <v>17.48</v>
      </c>
      <c r="L273">
        <v>3.7</v>
      </c>
      <c r="M273">
        <v>18.579999999999998</v>
      </c>
      <c r="N273">
        <v>5</v>
      </c>
      <c r="O273">
        <v>20</v>
      </c>
      <c r="P273">
        <v>1857.9999999999998</v>
      </c>
      <c r="Q273">
        <v>9.7100000000000009</v>
      </c>
      <c r="R273">
        <v>1848.29</v>
      </c>
      <c r="AC273" s="1">
        <v>42439</v>
      </c>
    </row>
    <row r="274" spans="1:29" x14ac:dyDescent="0.25">
      <c r="A274" t="s">
        <v>367</v>
      </c>
      <c r="D274" t="s">
        <v>1369</v>
      </c>
      <c r="E274" t="s">
        <v>2055</v>
      </c>
      <c r="F274" t="s">
        <v>2080</v>
      </c>
      <c r="G274" t="s">
        <v>2083</v>
      </c>
      <c r="H274" t="s">
        <v>2092</v>
      </c>
      <c r="I274" t="s">
        <v>2103</v>
      </c>
      <c r="J274">
        <v>4791</v>
      </c>
      <c r="K274">
        <v>18.989999999999998</v>
      </c>
      <c r="L274">
        <v>3.5</v>
      </c>
      <c r="M274">
        <v>24.61</v>
      </c>
      <c r="N274">
        <v>5</v>
      </c>
      <c r="O274">
        <v>16</v>
      </c>
      <c r="P274">
        <v>1968.8</v>
      </c>
      <c r="Q274">
        <v>9.98</v>
      </c>
      <c r="R274">
        <v>1958.82</v>
      </c>
      <c r="AC274" s="1">
        <v>43029</v>
      </c>
    </row>
    <row r="275" spans="1:29" x14ac:dyDescent="0.25">
      <c r="A275" t="s">
        <v>777</v>
      </c>
      <c r="D275" t="s">
        <v>1753</v>
      </c>
      <c r="E275" t="s">
        <v>2043</v>
      </c>
      <c r="F275" t="s">
        <v>2073</v>
      </c>
      <c r="G275" t="s">
        <v>2083</v>
      </c>
      <c r="H275" t="s">
        <v>2092</v>
      </c>
      <c r="I275" t="s">
        <v>2098</v>
      </c>
      <c r="J275">
        <v>984</v>
      </c>
      <c r="K275">
        <v>30.59</v>
      </c>
      <c r="L275">
        <v>2.2999999999999998</v>
      </c>
      <c r="M275">
        <v>28.89</v>
      </c>
      <c r="N275">
        <v>2</v>
      </c>
      <c r="O275">
        <v>10</v>
      </c>
      <c r="P275">
        <v>577.79999999999995</v>
      </c>
      <c r="Q275">
        <v>5.45</v>
      </c>
      <c r="R275">
        <v>572.35</v>
      </c>
      <c r="AC275" s="1">
        <v>42028</v>
      </c>
    </row>
    <row r="276" spans="1:29" x14ac:dyDescent="0.25">
      <c r="A276" t="s">
        <v>801</v>
      </c>
      <c r="D276" t="s">
        <v>1774</v>
      </c>
      <c r="E276" t="s">
        <v>2022</v>
      </c>
      <c r="F276" t="s">
        <v>2074</v>
      </c>
      <c r="G276" t="s">
        <v>2083</v>
      </c>
      <c r="H276" t="s">
        <v>2094</v>
      </c>
      <c r="I276" t="s">
        <v>2108</v>
      </c>
      <c r="J276">
        <v>3042</v>
      </c>
      <c r="K276">
        <v>16.170000000000002</v>
      </c>
      <c r="L276">
        <v>3.9</v>
      </c>
      <c r="M276">
        <v>26.47</v>
      </c>
      <c r="N276">
        <v>4</v>
      </c>
      <c r="O276">
        <v>8</v>
      </c>
      <c r="P276">
        <v>847.04</v>
      </c>
      <c r="Q276">
        <v>6.36</v>
      </c>
      <c r="R276">
        <v>840.68</v>
      </c>
      <c r="AC276" s="1">
        <v>41020</v>
      </c>
    </row>
    <row r="277" spans="1:29" x14ac:dyDescent="0.25">
      <c r="A277" t="s">
        <v>841</v>
      </c>
      <c r="D277" t="s">
        <v>1810</v>
      </c>
      <c r="E277" t="s">
        <v>1978</v>
      </c>
      <c r="F277" t="s">
        <v>2074</v>
      </c>
      <c r="G277" t="s">
        <v>2083</v>
      </c>
      <c r="H277" t="s">
        <v>2095</v>
      </c>
      <c r="I277" t="s">
        <v>2105</v>
      </c>
      <c r="J277">
        <v>4844</v>
      </c>
      <c r="K277">
        <v>9.9700000000000006</v>
      </c>
      <c r="L277">
        <v>2.6</v>
      </c>
      <c r="M277">
        <v>30.77</v>
      </c>
      <c r="N277">
        <v>5</v>
      </c>
      <c r="O277">
        <v>13</v>
      </c>
      <c r="P277">
        <v>2000.05</v>
      </c>
      <c r="Q277">
        <v>6.29</v>
      </c>
      <c r="R277">
        <v>1993.76</v>
      </c>
      <c r="AC277" s="1">
        <v>40258</v>
      </c>
    </row>
    <row r="278" spans="1:29" x14ac:dyDescent="0.25">
      <c r="A278" t="s">
        <v>863</v>
      </c>
      <c r="D278" t="s">
        <v>1831</v>
      </c>
      <c r="E278" t="s">
        <v>2006</v>
      </c>
      <c r="F278" t="s">
        <v>2080</v>
      </c>
      <c r="G278" t="s">
        <v>2083</v>
      </c>
      <c r="H278" t="s">
        <v>2095</v>
      </c>
      <c r="I278" t="s">
        <v>2108</v>
      </c>
      <c r="J278">
        <v>2033</v>
      </c>
      <c r="K278">
        <v>23.79</v>
      </c>
      <c r="L278">
        <v>2.7</v>
      </c>
      <c r="M278">
        <v>18.760000000000002</v>
      </c>
      <c r="N278">
        <v>4</v>
      </c>
      <c r="O278">
        <v>12</v>
      </c>
      <c r="P278">
        <v>900.48</v>
      </c>
      <c r="Q278">
        <v>5.27</v>
      </c>
      <c r="R278">
        <v>895.21</v>
      </c>
      <c r="AC278" s="1">
        <v>40926</v>
      </c>
    </row>
    <row r="279" spans="1:29" x14ac:dyDescent="0.25">
      <c r="A279" t="s">
        <v>934</v>
      </c>
      <c r="D279" t="s">
        <v>1899</v>
      </c>
      <c r="E279" t="s">
        <v>2048</v>
      </c>
      <c r="F279" t="s">
        <v>2080</v>
      </c>
      <c r="G279" t="s">
        <v>2083</v>
      </c>
      <c r="H279" t="s">
        <v>2093</v>
      </c>
      <c r="I279" t="s">
        <v>2098</v>
      </c>
      <c r="J279">
        <v>4118</v>
      </c>
      <c r="K279">
        <v>6.75</v>
      </c>
      <c r="L279">
        <v>1.1000000000000001</v>
      </c>
      <c r="M279">
        <v>19.3</v>
      </c>
      <c r="N279">
        <v>2</v>
      </c>
      <c r="O279">
        <v>5</v>
      </c>
      <c r="P279">
        <v>193</v>
      </c>
      <c r="Q279">
        <v>8.68</v>
      </c>
      <c r="R279">
        <v>184.32</v>
      </c>
      <c r="AC279" s="1">
        <v>41633</v>
      </c>
    </row>
    <row r="280" spans="1:29" x14ac:dyDescent="0.25">
      <c r="A280" t="s">
        <v>298</v>
      </c>
      <c r="D280" t="s">
        <v>1303</v>
      </c>
      <c r="E280" t="s">
        <v>1998</v>
      </c>
      <c r="F280" t="s">
        <v>2074</v>
      </c>
      <c r="G280" t="s">
        <v>2087</v>
      </c>
      <c r="H280" t="s">
        <v>2095</v>
      </c>
      <c r="I280" t="s">
        <v>2103</v>
      </c>
      <c r="J280">
        <v>2450</v>
      </c>
      <c r="K280">
        <v>41.36</v>
      </c>
      <c r="L280">
        <v>1.8</v>
      </c>
      <c r="M280">
        <v>9.66</v>
      </c>
      <c r="N280">
        <v>5</v>
      </c>
      <c r="O280">
        <v>8</v>
      </c>
      <c r="P280">
        <v>386.4</v>
      </c>
      <c r="Q280">
        <v>2.02</v>
      </c>
      <c r="R280">
        <v>384.38</v>
      </c>
      <c r="AC280" s="1">
        <v>41070</v>
      </c>
    </row>
    <row r="281" spans="1:29" x14ac:dyDescent="0.25">
      <c r="A281" t="s">
        <v>332</v>
      </c>
      <c r="D281" t="s">
        <v>1335</v>
      </c>
      <c r="E281" t="s">
        <v>2067</v>
      </c>
      <c r="F281" t="s">
        <v>2082</v>
      </c>
      <c r="G281" t="s">
        <v>2087</v>
      </c>
      <c r="H281" t="s">
        <v>2092</v>
      </c>
      <c r="I281" t="s">
        <v>2104</v>
      </c>
      <c r="J281">
        <v>668</v>
      </c>
      <c r="K281">
        <v>17.11</v>
      </c>
      <c r="L281">
        <v>3.3</v>
      </c>
      <c r="M281">
        <v>25.87</v>
      </c>
      <c r="N281">
        <v>3</v>
      </c>
      <c r="O281">
        <v>19</v>
      </c>
      <c r="P281">
        <v>1474.59</v>
      </c>
      <c r="Q281">
        <v>4.78</v>
      </c>
      <c r="R281">
        <v>1469.81</v>
      </c>
      <c r="AC281" s="1">
        <v>41283</v>
      </c>
    </row>
    <row r="282" spans="1:29" x14ac:dyDescent="0.25">
      <c r="A282" t="s">
        <v>365</v>
      </c>
      <c r="D282" t="s">
        <v>1367</v>
      </c>
      <c r="E282" t="s">
        <v>2054</v>
      </c>
      <c r="F282" t="s">
        <v>2076</v>
      </c>
      <c r="G282" t="s">
        <v>2087</v>
      </c>
      <c r="H282" t="s">
        <v>2093</v>
      </c>
      <c r="I282" t="s">
        <v>2097</v>
      </c>
      <c r="J282">
        <v>1603</v>
      </c>
      <c r="K282">
        <v>32.19</v>
      </c>
      <c r="L282">
        <v>2.9</v>
      </c>
      <c r="M282">
        <v>5.73</v>
      </c>
      <c r="N282">
        <v>4</v>
      </c>
      <c r="O282">
        <v>9</v>
      </c>
      <c r="P282">
        <v>206.28000000000003</v>
      </c>
      <c r="Q282">
        <v>2.16</v>
      </c>
      <c r="R282">
        <v>204.12</v>
      </c>
      <c r="AC282" s="1">
        <v>40562</v>
      </c>
    </row>
    <row r="283" spans="1:29" x14ac:dyDescent="0.25">
      <c r="A283" t="s">
        <v>473</v>
      </c>
      <c r="D283" t="s">
        <v>1471</v>
      </c>
      <c r="E283" t="s">
        <v>2020</v>
      </c>
      <c r="F283" t="s">
        <v>2073</v>
      </c>
      <c r="G283" t="s">
        <v>2087</v>
      </c>
      <c r="H283" t="s">
        <v>2094</v>
      </c>
      <c r="I283" t="s">
        <v>2111</v>
      </c>
      <c r="J283">
        <v>2837</v>
      </c>
      <c r="K283">
        <v>24.78</v>
      </c>
      <c r="L283">
        <v>4.5999999999999996</v>
      </c>
      <c r="M283">
        <v>27.69</v>
      </c>
      <c r="N283">
        <v>3</v>
      </c>
      <c r="O283">
        <v>19</v>
      </c>
      <c r="P283">
        <v>1578.3300000000002</v>
      </c>
      <c r="Q283">
        <v>1.22</v>
      </c>
      <c r="R283">
        <v>1577.11</v>
      </c>
      <c r="AC283" s="1">
        <v>41575</v>
      </c>
    </row>
    <row r="284" spans="1:29" x14ac:dyDescent="0.25">
      <c r="A284" t="s">
        <v>529</v>
      </c>
      <c r="D284" t="s">
        <v>1524</v>
      </c>
      <c r="E284" t="s">
        <v>1981</v>
      </c>
      <c r="F284" t="s">
        <v>2078</v>
      </c>
      <c r="G284" t="s">
        <v>2087</v>
      </c>
      <c r="H284" t="s">
        <v>2095</v>
      </c>
      <c r="I284" t="s">
        <v>2105</v>
      </c>
      <c r="J284">
        <v>710</v>
      </c>
      <c r="K284">
        <v>34.96</v>
      </c>
      <c r="L284">
        <v>2.2000000000000002</v>
      </c>
      <c r="M284">
        <v>27.04</v>
      </c>
      <c r="N284">
        <v>5</v>
      </c>
      <c r="O284">
        <v>1</v>
      </c>
      <c r="P284">
        <v>135.19999999999999</v>
      </c>
      <c r="Q284">
        <v>8.6</v>
      </c>
      <c r="R284">
        <v>126.6</v>
      </c>
      <c r="AC284" s="1">
        <v>42310</v>
      </c>
    </row>
    <row r="285" spans="1:29" x14ac:dyDescent="0.25">
      <c r="A285" t="s">
        <v>545</v>
      </c>
      <c r="D285" t="s">
        <v>1539</v>
      </c>
      <c r="E285" t="s">
        <v>2071</v>
      </c>
      <c r="F285" t="s">
        <v>2082</v>
      </c>
      <c r="G285" t="s">
        <v>2087</v>
      </c>
      <c r="H285" t="s">
        <v>2094</v>
      </c>
      <c r="I285" t="s">
        <v>2111</v>
      </c>
      <c r="J285">
        <v>135</v>
      </c>
      <c r="K285">
        <v>35.33</v>
      </c>
      <c r="L285">
        <v>4.5999999999999996</v>
      </c>
      <c r="M285">
        <v>12.03</v>
      </c>
      <c r="N285">
        <v>1</v>
      </c>
      <c r="O285">
        <v>13</v>
      </c>
      <c r="P285">
        <v>156.38999999999999</v>
      </c>
      <c r="Q285">
        <v>6.54</v>
      </c>
      <c r="R285">
        <v>149.85</v>
      </c>
      <c r="AC285" s="1">
        <v>40677</v>
      </c>
    </row>
    <row r="286" spans="1:29" x14ac:dyDescent="0.25">
      <c r="A286" t="s">
        <v>564</v>
      </c>
      <c r="D286" t="s">
        <v>1556</v>
      </c>
      <c r="E286" t="s">
        <v>1993</v>
      </c>
      <c r="F286" t="s">
        <v>2074</v>
      </c>
      <c r="G286" t="s">
        <v>2087</v>
      </c>
      <c r="H286" t="s">
        <v>2092</v>
      </c>
      <c r="I286" t="s">
        <v>2104</v>
      </c>
      <c r="J286">
        <v>3179</v>
      </c>
      <c r="K286">
        <v>37.72</v>
      </c>
      <c r="L286">
        <v>1.7</v>
      </c>
      <c r="M286">
        <v>14.85</v>
      </c>
      <c r="N286">
        <v>5</v>
      </c>
      <c r="O286">
        <v>14</v>
      </c>
      <c r="P286">
        <v>1039.5</v>
      </c>
      <c r="Q286">
        <v>8.31</v>
      </c>
      <c r="R286">
        <v>1031.19</v>
      </c>
      <c r="AC286" s="1">
        <v>41651</v>
      </c>
    </row>
    <row r="287" spans="1:29" x14ac:dyDescent="0.25">
      <c r="A287" t="s">
        <v>569</v>
      </c>
      <c r="D287" t="s">
        <v>1560</v>
      </c>
      <c r="E287" t="s">
        <v>2024</v>
      </c>
      <c r="F287" t="s">
        <v>2077</v>
      </c>
      <c r="G287" t="s">
        <v>2087</v>
      </c>
      <c r="H287" t="s">
        <v>2093</v>
      </c>
      <c r="I287" t="s">
        <v>2105</v>
      </c>
      <c r="J287">
        <v>1054</v>
      </c>
      <c r="K287">
        <v>34.090000000000003</v>
      </c>
      <c r="L287">
        <v>2.7</v>
      </c>
      <c r="M287">
        <v>5.7</v>
      </c>
      <c r="N287">
        <v>5</v>
      </c>
      <c r="O287">
        <v>5</v>
      </c>
      <c r="P287">
        <v>142.5</v>
      </c>
      <c r="Q287">
        <v>6.85</v>
      </c>
      <c r="R287">
        <v>135.65</v>
      </c>
      <c r="AC287" s="1">
        <v>40792</v>
      </c>
    </row>
    <row r="288" spans="1:29" x14ac:dyDescent="0.25">
      <c r="A288" t="s">
        <v>747</v>
      </c>
      <c r="D288" t="s">
        <v>1725</v>
      </c>
      <c r="E288" t="s">
        <v>2041</v>
      </c>
      <c r="F288" t="s">
        <v>2075</v>
      </c>
      <c r="G288" t="s">
        <v>2087</v>
      </c>
      <c r="H288" t="s">
        <v>2095</v>
      </c>
      <c r="I288" t="s">
        <v>2106</v>
      </c>
      <c r="J288">
        <v>2510</v>
      </c>
      <c r="K288">
        <v>43.01</v>
      </c>
      <c r="L288">
        <v>2.8</v>
      </c>
      <c r="M288">
        <v>13.28</v>
      </c>
      <c r="N288">
        <v>2</v>
      </c>
      <c r="O288">
        <v>1</v>
      </c>
      <c r="P288">
        <v>26.56</v>
      </c>
      <c r="Q288">
        <v>4.41</v>
      </c>
      <c r="R288">
        <v>22.15</v>
      </c>
      <c r="AC288" s="1">
        <v>42068</v>
      </c>
    </row>
    <row r="289" spans="1:29" x14ac:dyDescent="0.25">
      <c r="A289" t="s">
        <v>878</v>
      </c>
      <c r="D289" t="s">
        <v>1844</v>
      </c>
      <c r="E289" t="s">
        <v>2015</v>
      </c>
      <c r="F289" t="s">
        <v>2075</v>
      </c>
      <c r="G289" t="s">
        <v>2087</v>
      </c>
      <c r="H289" t="s">
        <v>2094</v>
      </c>
      <c r="I289" t="s">
        <v>2097</v>
      </c>
      <c r="J289">
        <v>3023</v>
      </c>
      <c r="K289">
        <v>18.93</v>
      </c>
      <c r="L289">
        <v>2.8</v>
      </c>
      <c r="M289">
        <v>34.99</v>
      </c>
      <c r="N289">
        <v>2</v>
      </c>
      <c r="O289">
        <v>10</v>
      </c>
      <c r="P289">
        <v>699.80000000000007</v>
      </c>
      <c r="Q289">
        <v>5.84</v>
      </c>
      <c r="R289">
        <v>693.96</v>
      </c>
      <c r="AC289" s="1">
        <v>41396</v>
      </c>
    </row>
    <row r="290" spans="1:29" x14ac:dyDescent="0.25">
      <c r="A290" t="s">
        <v>943</v>
      </c>
      <c r="D290" t="s">
        <v>1906</v>
      </c>
      <c r="E290" t="s">
        <v>1975</v>
      </c>
      <c r="F290" t="s">
        <v>2079</v>
      </c>
      <c r="G290" t="s">
        <v>2087</v>
      </c>
      <c r="H290" t="s">
        <v>2094</v>
      </c>
      <c r="I290" t="s">
        <v>2101</v>
      </c>
      <c r="J290">
        <v>1680</v>
      </c>
      <c r="K290">
        <v>16.489999999999998</v>
      </c>
      <c r="L290">
        <v>1.1000000000000001</v>
      </c>
      <c r="M290">
        <v>7.91</v>
      </c>
      <c r="N290">
        <v>3</v>
      </c>
      <c r="O290">
        <v>8</v>
      </c>
      <c r="P290">
        <v>189.84</v>
      </c>
      <c r="Q290">
        <v>6.04</v>
      </c>
      <c r="R290">
        <v>183.8</v>
      </c>
      <c r="AC290" s="1">
        <v>41556</v>
      </c>
    </row>
    <row r="291" spans="1:29" x14ac:dyDescent="0.25">
      <c r="A291" t="s">
        <v>107</v>
      </c>
      <c r="D291" t="s">
        <v>1117</v>
      </c>
      <c r="E291" t="s">
        <v>1988</v>
      </c>
      <c r="F291" t="s">
        <v>2074</v>
      </c>
      <c r="G291" t="s">
        <v>2088</v>
      </c>
      <c r="H291" t="s">
        <v>2095</v>
      </c>
      <c r="I291" t="s">
        <v>2111</v>
      </c>
      <c r="J291">
        <v>3981</v>
      </c>
      <c r="K291">
        <v>24.38</v>
      </c>
      <c r="L291">
        <v>3.9</v>
      </c>
      <c r="M291">
        <v>10.78</v>
      </c>
      <c r="N291">
        <v>4</v>
      </c>
      <c r="O291">
        <v>18</v>
      </c>
      <c r="P291">
        <v>776.16</v>
      </c>
      <c r="Q291">
        <v>5.9</v>
      </c>
      <c r="R291">
        <v>770.26</v>
      </c>
      <c r="AC291" s="1">
        <v>40459</v>
      </c>
    </row>
    <row r="292" spans="1:29" x14ac:dyDescent="0.25">
      <c r="A292" t="s">
        <v>303</v>
      </c>
      <c r="D292" t="s">
        <v>1308</v>
      </c>
      <c r="E292" t="s">
        <v>2012</v>
      </c>
      <c r="F292" t="s">
        <v>2073</v>
      </c>
      <c r="G292" t="s">
        <v>2088</v>
      </c>
      <c r="H292" t="s">
        <v>2095</v>
      </c>
      <c r="I292" t="s">
        <v>2098</v>
      </c>
      <c r="J292">
        <v>2803</v>
      </c>
      <c r="K292">
        <v>16.93</v>
      </c>
      <c r="L292">
        <v>3.7</v>
      </c>
      <c r="M292">
        <v>24.82</v>
      </c>
      <c r="N292">
        <v>3</v>
      </c>
      <c r="O292">
        <v>20</v>
      </c>
      <c r="P292">
        <v>1489.2000000000003</v>
      </c>
      <c r="Q292">
        <v>6.75</v>
      </c>
      <c r="R292">
        <v>1482.45</v>
      </c>
      <c r="AC292" s="1">
        <v>42403</v>
      </c>
    </row>
    <row r="293" spans="1:29" x14ac:dyDescent="0.25">
      <c r="A293" t="s">
        <v>625</v>
      </c>
      <c r="D293" t="s">
        <v>1610</v>
      </c>
      <c r="E293" t="s">
        <v>2037</v>
      </c>
      <c r="F293" t="s">
        <v>2074</v>
      </c>
      <c r="G293" t="s">
        <v>2088</v>
      </c>
      <c r="H293" t="s">
        <v>2096</v>
      </c>
      <c r="I293" t="s">
        <v>2110</v>
      </c>
      <c r="J293">
        <v>3583</v>
      </c>
      <c r="K293">
        <v>32.72</v>
      </c>
      <c r="L293">
        <v>2.4</v>
      </c>
      <c r="M293">
        <v>30.47</v>
      </c>
      <c r="N293">
        <v>4</v>
      </c>
      <c r="O293">
        <v>6</v>
      </c>
      <c r="P293">
        <v>731.28</v>
      </c>
      <c r="Q293">
        <v>7.09</v>
      </c>
      <c r="R293">
        <v>724.19</v>
      </c>
      <c r="AC293" s="1">
        <v>43151</v>
      </c>
    </row>
    <row r="294" spans="1:29" x14ac:dyDescent="0.25">
      <c r="A294" t="s">
        <v>726</v>
      </c>
      <c r="D294" t="s">
        <v>1705</v>
      </c>
      <c r="E294" t="s">
        <v>2066</v>
      </c>
      <c r="F294" t="s">
        <v>2074</v>
      </c>
      <c r="G294" t="s">
        <v>2088</v>
      </c>
      <c r="H294" t="s">
        <v>2093</v>
      </c>
      <c r="I294" t="s">
        <v>2108</v>
      </c>
      <c r="J294">
        <v>4792</v>
      </c>
      <c r="K294">
        <v>39.61</v>
      </c>
      <c r="L294">
        <v>3.7</v>
      </c>
      <c r="M294">
        <v>26.05</v>
      </c>
      <c r="N294">
        <v>1</v>
      </c>
      <c r="O294">
        <v>5</v>
      </c>
      <c r="P294">
        <v>130.25</v>
      </c>
      <c r="Q294">
        <v>8.81</v>
      </c>
      <c r="R294">
        <v>121.44</v>
      </c>
      <c r="AC294" s="1">
        <v>42381</v>
      </c>
    </row>
    <row r="295" spans="1:29" x14ac:dyDescent="0.25">
      <c r="A295" t="s">
        <v>730</v>
      </c>
      <c r="D295" t="s">
        <v>1709</v>
      </c>
      <c r="E295" t="s">
        <v>1984</v>
      </c>
      <c r="F295" t="s">
        <v>2080</v>
      </c>
      <c r="G295" t="s">
        <v>2088</v>
      </c>
      <c r="H295" t="s">
        <v>2094</v>
      </c>
      <c r="I295" t="s">
        <v>2101</v>
      </c>
      <c r="J295">
        <v>621</v>
      </c>
      <c r="K295">
        <v>9.0399999999999991</v>
      </c>
      <c r="L295">
        <v>4.5999999999999996</v>
      </c>
      <c r="M295">
        <v>30.89</v>
      </c>
      <c r="N295">
        <v>4</v>
      </c>
      <c r="O295">
        <v>20</v>
      </c>
      <c r="P295">
        <v>2471.1999999999998</v>
      </c>
      <c r="Q295">
        <v>5.1100000000000003</v>
      </c>
      <c r="R295">
        <v>2466.09</v>
      </c>
      <c r="AC295" s="1">
        <v>41910</v>
      </c>
    </row>
    <row r="296" spans="1:29" x14ac:dyDescent="0.25">
      <c r="A296" t="s">
        <v>731</v>
      </c>
      <c r="D296" t="s">
        <v>1710</v>
      </c>
      <c r="E296" t="s">
        <v>1993</v>
      </c>
      <c r="F296" t="s">
        <v>2082</v>
      </c>
      <c r="G296" t="s">
        <v>2088</v>
      </c>
      <c r="H296" t="s">
        <v>2095</v>
      </c>
      <c r="I296" t="s">
        <v>2102</v>
      </c>
      <c r="J296">
        <v>1611</v>
      </c>
      <c r="K296">
        <v>34.799999999999997</v>
      </c>
      <c r="L296">
        <v>2.1</v>
      </c>
      <c r="M296">
        <v>35.92</v>
      </c>
      <c r="N296">
        <v>4</v>
      </c>
      <c r="O296">
        <v>4</v>
      </c>
      <c r="P296">
        <v>574.72</v>
      </c>
      <c r="Q296">
        <v>7</v>
      </c>
      <c r="R296">
        <v>567.72</v>
      </c>
      <c r="AC296" s="1">
        <v>40572</v>
      </c>
    </row>
    <row r="297" spans="1:29" x14ac:dyDescent="0.25">
      <c r="A297" t="s">
        <v>737</v>
      </c>
      <c r="D297" t="s">
        <v>1715</v>
      </c>
      <c r="E297" t="s">
        <v>2046</v>
      </c>
      <c r="F297" t="s">
        <v>2074</v>
      </c>
      <c r="G297" t="s">
        <v>2088</v>
      </c>
      <c r="H297" t="s">
        <v>2093</v>
      </c>
      <c r="I297" t="s">
        <v>2100</v>
      </c>
      <c r="J297">
        <v>3910</v>
      </c>
      <c r="K297">
        <v>24.16</v>
      </c>
      <c r="L297">
        <v>4.5</v>
      </c>
      <c r="M297">
        <v>33.15</v>
      </c>
      <c r="N297">
        <v>5</v>
      </c>
      <c r="O297">
        <v>18</v>
      </c>
      <c r="P297">
        <v>2983.5</v>
      </c>
      <c r="Q297">
        <v>5.35</v>
      </c>
      <c r="R297">
        <v>2978.15</v>
      </c>
      <c r="AC297" s="1">
        <v>41927</v>
      </c>
    </row>
    <row r="298" spans="1:29" x14ac:dyDescent="0.25">
      <c r="A298" t="s">
        <v>742</v>
      </c>
      <c r="D298" t="s">
        <v>1720</v>
      </c>
      <c r="E298" t="s">
        <v>2016</v>
      </c>
      <c r="F298" t="s">
        <v>2078</v>
      </c>
      <c r="G298" t="s">
        <v>2088</v>
      </c>
      <c r="H298" t="s">
        <v>2096</v>
      </c>
      <c r="I298" t="s">
        <v>2097</v>
      </c>
      <c r="J298">
        <v>4629</v>
      </c>
      <c r="K298">
        <v>21.44</v>
      </c>
      <c r="L298">
        <v>2.2000000000000002</v>
      </c>
      <c r="M298">
        <v>36.07</v>
      </c>
      <c r="N298">
        <v>5</v>
      </c>
      <c r="O298">
        <v>4</v>
      </c>
      <c r="P298">
        <v>721.4</v>
      </c>
      <c r="Q298">
        <v>7.72</v>
      </c>
      <c r="R298">
        <v>713.68</v>
      </c>
      <c r="AC298" s="1">
        <v>42688</v>
      </c>
    </row>
    <row r="299" spans="1:29" x14ac:dyDescent="0.25">
      <c r="A299" t="s">
        <v>861</v>
      </c>
      <c r="D299" t="s">
        <v>1829</v>
      </c>
      <c r="E299" t="s">
        <v>2024</v>
      </c>
      <c r="F299" t="s">
        <v>2075</v>
      </c>
      <c r="G299" t="s">
        <v>2088</v>
      </c>
      <c r="H299" t="s">
        <v>2095</v>
      </c>
      <c r="I299" t="s">
        <v>2098</v>
      </c>
      <c r="J299">
        <v>3463</v>
      </c>
      <c r="K299">
        <v>26.32</v>
      </c>
      <c r="L299">
        <v>1.7</v>
      </c>
      <c r="M299">
        <v>34.909999999999997</v>
      </c>
      <c r="N299">
        <v>2</v>
      </c>
      <c r="O299">
        <v>6</v>
      </c>
      <c r="P299">
        <v>418.91999999999996</v>
      </c>
      <c r="Q299">
        <v>3.48</v>
      </c>
      <c r="R299">
        <v>415.44</v>
      </c>
      <c r="AC299" s="1">
        <v>43374</v>
      </c>
    </row>
    <row r="300" spans="1:29" x14ac:dyDescent="0.25">
      <c r="A300" t="s">
        <v>893</v>
      </c>
      <c r="D300" t="s">
        <v>1858</v>
      </c>
      <c r="E300" t="s">
        <v>2021</v>
      </c>
      <c r="F300" t="s">
        <v>2075</v>
      </c>
      <c r="G300" t="s">
        <v>2088</v>
      </c>
      <c r="H300" t="s">
        <v>2093</v>
      </c>
      <c r="I300" t="s">
        <v>2099</v>
      </c>
      <c r="J300">
        <v>3425</v>
      </c>
      <c r="K300">
        <v>12.07</v>
      </c>
      <c r="L300">
        <v>3.1</v>
      </c>
      <c r="M300">
        <v>16.8</v>
      </c>
      <c r="N300">
        <v>3</v>
      </c>
      <c r="O300">
        <v>14</v>
      </c>
      <c r="P300">
        <v>705.60000000000014</v>
      </c>
      <c r="Q300">
        <v>9.43</v>
      </c>
      <c r="R300">
        <v>696.17</v>
      </c>
      <c r="AC300" s="1">
        <v>40576</v>
      </c>
    </row>
    <row r="301" spans="1:29" x14ac:dyDescent="0.25">
      <c r="A301" t="s">
        <v>921</v>
      </c>
      <c r="D301" t="s">
        <v>1886</v>
      </c>
      <c r="E301" t="s">
        <v>2031</v>
      </c>
      <c r="F301" t="s">
        <v>2081</v>
      </c>
      <c r="G301" t="s">
        <v>2088</v>
      </c>
      <c r="H301" t="s">
        <v>2095</v>
      </c>
      <c r="I301" t="s">
        <v>2105</v>
      </c>
      <c r="J301">
        <v>1387</v>
      </c>
      <c r="K301">
        <v>31.15</v>
      </c>
      <c r="L301">
        <v>2.8</v>
      </c>
      <c r="M301">
        <v>21.19</v>
      </c>
      <c r="N301">
        <v>3</v>
      </c>
      <c r="O301">
        <v>11</v>
      </c>
      <c r="P301">
        <v>699.2700000000001</v>
      </c>
      <c r="Q301">
        <v>6.61</v>
      </c>
      <c r="R301">
        <v>692.66</v>
      </c>
      <c r="AC301" s="1">
        <v>41859</v>
      </c>
    </row>
    <row r="302" spans="1:29" x14ac:dyDescent="0.25">
      <c r="A302" t="s">
        <v>965</v>
      </c>
      <c r="D302" t="s">
        <v>1563</v>
      </c>
      <c r="E302" t="s">
        <v>2020</v>
      </c>
      <c r="F302" t="s">
        <v>2078</v>
      </c>
      <c r="G302" t="s">
        <v>2088</v>
      </c>
      <c r="H302" t="s">
        <v>2095</v>
      </c>
      <c r="I302" t="s">
        <v>2103</v>
      </c>
      <c r="J302">
        <v>3454</v>
      </c>
      <c r="K302">
        <v>43.32</v>
      </c>
      <c r="L302">
        <v>4.2</v>
      </c>
      <c r="M302">
        <v>37.32</v>
      </c>
      <c r="N302">
        <v>1</v>
      </c>
      <c r="O302">
        <v>19</v>
      </c>
      <c r="P302">
        <v>709.08</v>
      </c>
      <c r="Q302">
        <v>7.33</v>
      </c>
      <c r="R302">
        <v>701.75</v>
      </c>
      <c r="AC302" s="1">
        <v>41940</v>
      </c>
    </row>
    <row r="303" spans="1:29" x14ac:dyDescent="0.25">
      <c r="A303" t="s">
        <v>977</v>
      </c>
      <c r="D303" t="s">
        <v>1936</v>
      </c>
      <c r="E303" t="s">
        <v>2049</v>
      </c>
      <c r="F303" t="s">
        <v>2079</v>
      </c>
      <c r="G303" t="s">
        <v>2088</v>
      </c>
      <c r="H303" t="s">
        <v>2096</v>
      </c>
      <c r="I303" t="s">
        <v>2103</v>
      </c>
      <c r="J303">
        <v>383</v>
      </c>
      <c r="K303">
        <v>23.5</v>
      </c>
      <c r="L303">
        <v>3.9</v>
      </c>
      <c r="M303">
        <v>18.3</v>
      </c>
      <c r="N303">
        <v>5</v>
      </c>
      <c r="O303">
        <v>5</v>
      </c>
      <c r="P303">
        <v>457.5</v>
      </c>
      <c r="Q303">
        <v>4.5199999999999996</v>
      </c>
      <c r="R303">
        <v>452.98</v>
      </c>
      <c r="AC303" s="1">
        <v>42180</v>
      </c>
    </row>
    <row r="304" spans="1:29" x14ac:dyDescent="0.25">
      <c r="A304" t="s">
        <v>157</v>
      </c>
      <c r="D304" t="s">
        <v>1166</v>
      </c>
      <c r="E304" t="s">
        <v>2046</v>
      </c>
      <c r="F304" t="s">
        <v>2080</v>
      </c>
      <c r="G304" t="s">
        <v>2085</v>
      </c>
      <c r="H304" t="s">
        <v>2093</v>
      </c>
      <c r="I304" t="s">
        <v>2102</v>
      </c>
      <c r="J304">
        <v>1776</v>
      </c>
      <c r="K304">
        <v>42.12</v>
      </c>
      <c r="L304">
        <v>4.5999999999999996</v>
      </c>
      <c r="M304">
        <v>11.54</v>
      </c>
      <c r="N304">
        <v>4</v>
      </c>
      <c r="O304">
        <v>16</v>
      </c>
      <c r="P304">
        <v>738.56</v>
      </c>
      <c r="Q304">
        <v>1.39</v>
      </c>
      <c r="R304">
        <v>737.17</v>
      </c>
      <c r="AC304" s="1">
        <v>43318</v>
      </c>
    </row>
    <row r="305" spans="1:29" x14ac:dyDescent="0.25">
      <c r="A305" t="s">
        <v>166</v>
      </c>
      <c r="D305" t="s">
        <v>1175</v>
      </c>
      <c r="E305" t="s">
        <v>2050</v>
      </c>
      <c r="F305" t="s">
        <v>2079</v>
      </c>
      <c r="G305" t="s">
        <v>2085</v>
      </c>
      <c r="H305" t="s">
        <v>2093</v>
      </c>
      <c r="I305" t="s">
        <v>2101</v>
      </c>
      <c r="J305">
        <v>4491</v>
      </c>
      <c r="K305">
        <v>7.82</v>
      </c>
      <c r="L305">
        <v>3.3</v>
      </c>
      <c r="M305">
        <v>21.95</v>
      </c>
      <c r="N305">
        <v>5</v>
      </c>
      <c r="O305">
        <v>14</v>
      </c>
      <c r="P305">
        <v>1536.5</v>
      </c>
      <c r="Q305">
        <v>7.48</v>
      </c>
      <c r="R305">
        <v>1529.02</v>
      </c>
      <c r="AC305" s="1">
        <v>40432</v>
      </c>
    </row>
    <row r="306" spans="1:29" x14ac:dyDescent="0.25">
      <c r="A306" t="s">
        <v>249</v>
      </c>
      <c r="D306" t="s">
        <v>1256</v>
      </c>
      <c r="E306" t="s">
        <v>2001</v>
      </c>
      <c r="F306" t="s">
        <v>2075</v>
      </c>
      <c r="G306" t="s">
        <v>2085</v>
      </c>
      <c r="H306" t="s">
        <v>2093</v>
      </c>
      <c r="I306" t="s">
        <v>2109</v>
      </c>
      <c r="J306">
        <v>3975</v>
      </c>
      <c r="K306">
        <v>21.25</v>
      </c>
      <c r="L306">
        <v>2.1</v>
      </c>
      <c r="M306">
        <v>16.11</v>
      </c>
      <c r="N306">
        <v>1</v>
      </c>
      <c r="O306">
        <v>18</v>
      </c>
      <c r="P306">
        <v>289.98</v>
      </c>
      <c r="Q306">
        <v>5.51</v>
      </c>
      <c r="R306">
        <v>284.47000000000003</v>
      </c>
      <c r="AC306" s="1">
        <v>40421</v>
      </c>
    </row>
    <row r="307" spans="1:29" x14ac:dyDescent="0.25">
      <c r="A307" t="s">
        <v>295</v>
      </c>
      <c r="D307" t="s">
        <v>1300</v>
      </c>
      <c r="E307" t="s">
        <v>2011</v>
      </c>
      <c r="F307" t="s">
        <v>2074</v>
      </c>
      <c r="G307" t="s">
        <v>2085</v>
      </c>
      <c r="H307" t="s">
        <v>2096</v>
      </c>
      <c r="I307" t="s">
        <v>2102</v>
      </c>
      <c r="J307">
        <v>2646</v>
      </c>
      <c r="K307">
        <v>29.61</v>
      </c>
      <c r="L307">
        <v>1.8</v>
      </c>
      <c r="M307">
        <v>21.46</v>
      </c>
      <c r="N307">
        <v>4</v>
      </c>
      <c r="O307">
        <v>13</v>
      </c>
      <c r="P307">
        <v>1115.92</v>
      </c>
      <c r="Q307">
        <v>3.76</v>
      </c>
      <c r="R307">
        <v>1112.1600000000001</v>
      </c>
      <c r="AC307" s="1">
        <v>41667</v>
      </c>
    </row>
    <row r="308" spans="1:29" x14ac:dyDescent="0.25">
      <c r="A308" t="s">
        <v>312</v>
      </c>
      <c r="D308" t="s">
        <v>1316</v>
      </c>
      <c r="E308" t="s">
        <v>1983</v>
      </c>
      <c r="F308" t="s">
        <v>2079</v>
      </c>
      <c r="G308" t="s">
        <v>2085</v>
      </c>
      <c r="H308" t="s">
        <v>2095</v>
      </c>
      <c r="I308" t="s">
        <v>2098</v>
      </c>
      <c r="J308">
        <v>4607</v>
      </c>
      <c r="K308">
        <v>22.16</v>
      </c>
      <c r="L308">
        <v>1.4</v>
      </c>
      <c r="M308">
        <v>18.14</v>
      </c>
      <c r="N308">
        <v>2</v>
      </c>
      <c r="O308">
        <v>12</v>
      </c>
      <c r="P308">
        <v>435.36</v>
      </c>
      <c r="Q308">
        <v>9.3000000000000007</v>
      </c>
      <c r="R308">
        <v>426.06</v>
      </c>
      <c r="AC308" s="1">
        <v>42219</v>
      </c>
    </row>
    <row r="309" spans="1:29" x14ac:dyDescent="0.25">
      <c r="A309" t="s">
        <v>354</v>
      </c>
      <c r="D309" t="s">
        <v>1357</v>
      </c>
      <c r="E309" t="s">
        <v>2049</v>
      </c>
      <c r="F309" t="s">
        <v>2075</v>
      </c>
      <c r="G309" t="s">
        <v>2085</v>
      </c>
      <c r="H309" t="s">
        <v>2096</v>
      </c>
      <c r="I309" t="s">
        <v>2098</v>
      </c>
      <c r="J309">
        <v>3212</v>
      </c>
      <c r="K309">
        <v>38.67</v>
      </c>
      <c r="L309">
        <v>2.6</v>
      </c>
      <c r="M309">
        <v>24.28</v>
      </c>
      <c r="N309">
        <v>2</v>
      </c>
      <c r="O309">
        <v>20</v>
      </c>
      <c r="P309">
        <v>971.2</v>
      </c>
      <c r="Q309">
        <v>9.08</v>
      </c>
      <c r="R309">
        <v>962.12</v>
      </c>
      <c r="AC309" s="1">
        <v>40732</v>
      </c>
    </row>
    <row r="310" spans="1:29" x14ac:dyDescent="0.25">
      <c r="A310" t="s">
        <v>409</v>
      </c>
      <c r="D310" t="s">
        <v>1408</v>
      </c>
      <c r="E310" t="s">
        <v>1992</v>
      </c>
      <c r="F310" t="s">
        <v>2077</v>
      </c>
      <c r="G310" t="s">
        <v>2085</v>
      </c>
      <c r="H310" t="s">
        <v>2096</v>
      </c>
      <c r="I310" t="s">
        <v>2098</v>
      </c>
      <c r="J310">
        <v>452</v>
      </c>
      <c r="K310">
        <v>29.35</v>
      </c>
      <c r="L310">
        <v>4.5</v>
      </c>
      <c r="M310">
        <v>20.45</v>
      </c>
      <c r="N310">
        <v>4</v>
      </c>
      <c r="O310">
        <v>18</v>
      </c>
      <c r="P310">
        <v>1472.3999999999999</v>
      </c>
      <c r="Q310">
        <v>6.41</v>
      </c>
      <c r="R310">
        <v>1465.99</v>
      </c>
      <c r="AC310" s="1">
        <v>41386</v>
      </c>
    </row>
    <row r="311" spans="1:29" x14ac:dyDescent="0.25">
      <c r="A311" t="s">
        <v>722</v>
      </c>
      <c r="D311" t="s">
        <v>1701</v>
      </c>
      <c r="E311" t="s">
        <v>2048</v>
      </c>
      <c r="F311" t="s">
        <v>2082</v>
      </c>
      <c r="G311" t="s">
        <v>2085</v>
      </c>
      <c r="H311" t="s">
        <v>2096</v>
      </c>
      <c r="I311" t="s">
        <v>2111</v>
      </c>
      <c r="J311">
        <v>337</v>
      </c>
      <c r="K311">
        <v>33.020000000000003</v>
      </c>
      <c r="L311">
        <v>2.2999999999999998</v>
      </c>
      <c r="M311">
        <v>14.63</v>
      </c>
      <c r="N311">
        <v>4</v>
      </c>
      <c r="O311">
        <v>4</v>
      </c>
      <c r="P311">
        <v>234.08</v>
      </c>
      <c r="Q311">
        <v>2.14</v>
      </c>
      <c r="R311">
        <v>231.94</v>
      </c>
      <c r="AC311" s="1">
        <v>42087</v>
      </c>
    </row>
    <row r="312" spans="1:29" x14ac:dyDescent="0.25">
      <c r="A312" t="s">
        <v>791</v>
      </c>
      <c r="D312" t="s">
        <v>1766</v>
      </c>
      <c r="E312" t="s">
        <v>2017</v>
      </c>
      <c r="F312" t="s">
        <v>2077</v>
      </c>
      <c r="G312" t="s">
        <v>2085</v>
      </c>
      <c r="H312" t="s">
        <v>2094</v>
      </c>
      <c r="I312" t="s">
        <v>2099</v>
      </c>
      <c r="J312">
        <v>3687</v>
      </c>
      <c r="K312">
        <v>40.24</v>
      </c>
      <c r="L312">
        <v>4.2</v>
      </c>
      <c r="M312">
        <v>35.17</v>
      </c>
      <c r="N312">
        <v>3</v>
      </c>
      <c r="O312">
        <v>20</v>
      </c>
      <c r="P312">
        <v>2110.2000000000003</v>
      </c>
      <c r="Q312">
        <v>0.24</v>
      </c>
      <c r="R312">
        <v>2109.96</v>
      </c>
      <c r="AC312" s="1">
        <v>40650</v>
      </c>
    </row>
    <row r="313" spans="1:29" x14ac:dyDescent="0.25">
      <c r="A313" t="s">
        <v>792</v>
      </c>
      <c r="D313" t="s">
        <v>1197</v>
      </c>
      <c r="E313" t="s">
        <v>2029</v>
      </c>
      <c r="F313" t="s">
        <v>2075</v>
      </c>
      <c r="G313" t="s">
        <v>2085</v>
      </c>
      <c r="H313" t="s">
        <v>2094</v>
      </c>
      <c r="I313" t="s">
        <v>2109</v>
      </c>
      <c r="J313">
        <v>1273</v>
      </c>
      <c r="K313">
        <v>17.39</v>
      </c>
      <c r="L313">
        <v>1.5</v>
      </c>
      <c r="M313">
        <v>35.58</v>
      </c>
      <c r="N313">
        <v>3</v>
      </c>
      <c r="O313">
        <v>20</v>
      </c>
      <c r="P313">
        <v>2134.7999999999997</v>
      </c>
      <c r="Q313">
        <v>1.18</v>
      </c>
      <c r="R313">
        <v>2133.62</v>
      </c>
      <c r="AC313" s="1">
        <v>41044</v>
      </c>
    </row>
    <row r="314" spans="1:29" x14ac:dyDescent="0.25">
      <c r="A314" t="s">
        <v>838</v>
      </c>
      <c r="D314" t="s">
        <v>1807</v>
      </c>
      <c r="E314" t="s">
        <v>2003</v>
      </c>
      <c r="F314" t="s">
        <v>2079</v>
      </c>
      <c r="G314" t="s">
        <v>2085</v>
      </c>
      <c r="H314" t="s">
        <v>2095</v>
      </c>
      <c r="I314" t="s">
        <v>2110</v>
      </c>
      <c r="J314">
        <v>4653</v>
      </c>
      <c r="K314">
        <v>8.5</v>
      </c>
      <c r="L314">
        <v>2.2000000000000002</v>
      </c>
      <c r="M314">
        <v>39.33</v>
      </c>
      <c r="N314">
        <v>1</v>
      </c>
      <c r="O314">
        <v>12</v>
      </c>
      <c r="P314">
        <v>471.96</v>
      </c>
      <c r="Q314">
        <v>6.06</v>
      </c>
      <c r="R314">
        <v>465.9</v>
      </c>
      <c r="AC314" s="1">
        <v>42721</v>
      </c>
    </row>
    <row r="315" spans="1:29" x14ac:dyDescent="0.25">
      <c r="A315" t="s">
        <v>870</v>
      </c>
      <c r="D315" t="s">
        <v>1836</v>
      </c>
      <c r="E315" t="s">
        <v>2012</v>
      </c>
      <c r="F315" t="s">
        <v>2077</v>
      </c>
      <c r="G315" t="s">
        <v>2085</v>
      </c>
      <c r="H315" t="s">
        <v>2095</v>
      </c>
      <c r="I315" t="s">
        <v>2101</v>
      </c>
      <c r="J315">
        <v>2093</v>
      </c>
      <c r="K315">
        <v>35.6</v>
      </c>
      <c r="L315">
        <v>4.5</v>
      </c>
      <c r="M315">
        <v>14.08</v>
      </c>
      <c r="N315">
        <v>1</v>
      </c>
      <c r="O315">
        <v>14</v>
      </c>
      <c r="P315">
        <v>197.12</v>
      </c>
      <c r="Q315">
        <v>1.53</v>
      </c>
      <c r="R315">
        <v>195.59</v>
      </c>
      <c r="AC315" s="1">
        <v>41095</v>
      </c>
    </row>
    <row r="316" spans="1:29" x14ac:dyDescent="0.25">
      <c r="A316" t="s">
        <v>881</v>
      </c>
      <c r="D316" t="s">
        <v>1847</v>
      </c>
      <c r="E316" t="s">
        <v>2046</v>
      </c>
      <c r="F316" t="s">
        <v>2078</v>
      </c>
      <c r="G316" t="s">
        <v>2085</v>
      </c>
      <c r="H316" t="s">
        <v>2095</v>
      </c>
      <c r="I316" t="s">
        <v>2100</v>
      </c>
      <c r="J316">
        <v>4925</v>
      </c>
      <c r="K316">
        <v>44.46</v>
      </c>
      <c r="L316">
        <v>4.5999999999999996</v>
      </c>
      <c r="M316">
        <v>13.82</v>
      </c>
      <c r="N316">
        <v>5</v>
      </c>
      <c r="O316">
        <v>10</v>
      </c>
      <c r="P316">
        <v>691</v>
      </c>
      <c r="Q316">
        <v>8.81</v>
      </c>
      <c r="R316">
        <v>682.19</v>
      </c>
      <c r="AC316" s="1">
        <v>41294</v>
      </c>
    </row>
    <row r="317" spans="1:29" x14ac:dyDescent="0.25">
      <c r="A317" t="s">
        <v>31</v>
      </c>
      <c r="D317" t="s">
        <v>1041</v>
      </c>
      <c r="E317" t="s">
        <v>1986</v>
      </c>
      <c r="F317" t="s">
        <v>2078</v>
      </c>
      <c r="G317" t="s">
        <v>2091</v>
      </c>
      <c r="H317" t="s">
        <v>2094</v>
      </c>
      <c r="I317" t="s">
        <v>2105</v>
      </c>
      <c r="J317">
        <v>4803</v>
      </c>
      <c r="K317">
        <v>24.84</v>
      </c>
      <c r="L317">
        <v>3.5</v>
      </c>
      <c r="M317">
        <v>19.23</v>
      </c>
      <c r="N317">
        <v>1</v>
      </c>
      <c r="O317">
        <v>8</v>
      </c>
      <c r="P317">
        <v>153.84</v>
      </c>
      <c r="Q317">
        <v>9.7100000000000009</v>
      </c>
      <c r="R317">
        <v>144.13</v>
      </c>
      <c r="AC317" s="1">
        <v>40661</v>
      </c>
    </row>
    <row r="318" spans="1:29" x14ac:dyDescent="0.25">
      <c r="A318" t="s">
        <v>90</v>
      </c>
      <c r="D318" t="s">
        <v>1100</v>
      </c>
      <c r="E318" t="s">
        <v>2013</v>
      </c>
      <c r="F318" t="s">
        <v>2078</v>
      </c>
      <c r="G318" t="s">
        <v>2091</v>
      </c>
      <c r="H318" t="s">
        <v>2094</v>
      </c>
      <c r="I318" t="s">
        <v>2111</v>
      </c>
      <c r="J318">
        <v>3817</v>
      </c>
      <c r="K318">
        <v>14.11</v>
      </c>
      <c r="L318">
        <v>1.8</v>
      </c>
      <c r="M318">
        <v>21.87</v>
      </c>
      <c r="N318">
        <v>2</v>
      </c>
      <c r="O318">
        <v>6</v>
      </c>
      <c r="P318">
        <v>262.44</v>
      </c>
      <c r="Q318">
        <v>3.5</v>
      </c>
      <c r="R318">
        <v>258.94</v>
      </c>
      <c r="AC318" s="1">
        <v>41747</v>
      </c>
    </row>
    <row r="319" spans="1:29" x14ac:dyDescent="0.25">
      <c r="A319" t="s">
        <v>126</v>
      </c>
      <c r="D319" t="s">
        <v>1136</v>
      </c>
      <c r="E319" t="s">
        <v>2001</v>
      </c>
      <c r="F319" t="s">
        <v>2076</v>
      </c>
      <c r="G319" t="s">
        <v>2091</v>
      </c>
      <c r="H319" t="s">
        <v>2093</v>
      </c>
      <c r="I319" t="s">
        <v>2102</v>
      </c>
      <c r="J319">
        <v>1782</v>
      </c>
      <c r="K319">
        <v>30.73</v>
      </c>
      <c r="L319">
        <v>4.2</v>
      </c>
      <c r="M319">
        <v>31.16</v>
      </c>
      <c r="N319">
        <v>3</v>
      </c>
      <c r="O319">
        <v>11</v>
      </c>
      <c r="P319">
        <v>1028.28</v>
      </c>
      <c r="Q319">
        <v>10</v>
      </c>
      <c r="R319">
        <v>1018.28</v>
      </c>
      <c r="AC319" s="1">
        <v>41883</v>
      </c>
    </row>
    <row r="320" spans="1:29" x14ac:dyDescent="0.25">
      <c r="A320" t="s">
        <v>149</v>
      </c>
      <c r="D320" t="s">
        <v>1158</v>
      </c>
      <c r="E320" t="s">
        <v>2032</v>
      </c>
      <c r="F320" t="s">
        <v>2078</v>
      </c>
      <c r="G320" t="s">
        <v>2091</v>
      </c>
      <c r="H320" t="s">
        <v>2094</v>
      </c>
      <c r="I320" t="s">
        <v>2103</v>
      </c>
      <c r="J320">
        <v>1012</v>
      </c>
      <c r="K320">
        <v>26.97</v>
      </c>
      <c r="L320">
        <v>1.7</v>
      </c>
      <c r="M320">
        <v>30.92</v>
      </c>
      <c r="N320">
        <v>4</v>
      </c>
      <c r="O320">
        <v>18</v>
      </c>
      <c r="P320">
        <v>2226.2400000000002</v>
      </c>
      <c r="Q320">
        <v>5.25</v>
      </c>
      <c r="R320">
        <v>2220.9899999999998</v>
      </c>
      <c r="AC320" s="1">
        <v>40193</v>
      </c>
    </row>
    <row r="321" spans="1:29" x14ac:dyDescent="0.25">
      <c r="A321" t="s">
        <v>186</v>
      </c>
      <c r="D321" t="s">
        <v>1195</v>
      </c>
      <c r="E321" t="s">
        <v>2012</v>
      </c>
      <c r="F321" t="s">
        <v>2074</v>
      </c>
      <c r="G321" t="s">
        <v>2091</v>
      </c>
      <c r="H321" t="s">
        <v>2094</v>
      </c>
      <c r="I321" t="s">
        <v>2107</v>
      </c>
      <c r="J321">
        <v>3852</v>
      </c>
      <c r="K321">
        <v>26.63</v>
      </c>
      <c r="L321">
        <v>1.2</v>
      </c>
      <c r="M321">
        <v>16.739999999999998</v>
      </c>
      <c r="N321">
        <v>2</v>
      </c>
      <c r="O321">
        <v>12</v>
      </c>
      <c r="P321">
        <v>401.76</v>
      </c>
      <c r="Q321">
        <v>4.13</v>
      </c>
      <c r="R321">
        <v>397.63</v>
      </c>
      <c r="AC321" s="1">
        <v>40377</v>
      </c>
    </row>
    <row r="322" spans="1:29" x14ac:dyDescent="0.25">
      <c r="A322" t="s">
        <v>314</v>
      </c>
      <c r="D322" t="s">
        <v>1318</v>
      </c>
      <c r="E322" t="s">
        <v>1973</v>
      </c>
      <c r="F322" t="s">
        <v>2079</v>
      </c>
      <c r="G322" t="s">
        <v>2091</v>
      </c>
      <c r="H322" t="s">
        <v>2096</v>
      </c>
      <c r="I322" t="s">
        <v>2101</v>
      </c>
      <c r="J322">
        <v>4823</v>
      </c>
      <c r="K322">
        <v>14.62</v>
      </c>
      <c r="L322">
        <v>2.6</v>
      </c>
      <c r="M322">
        <v>24.67</v>
      </c>
      <c r="N322">
        <v>4</v>
      </c>
      <c r="O322">
        <v>20</v>
      </c>
      <c r="P322">
        <v>1973.6000000000001</v>
      </c>
      <c r="Q322">
        <v>7.66</v>
      </c>
      <c r="R322">
        <v>1965.94</v>
      </c>
      <c r="AC322" s="1">
        <v>41695</v>
      </c>
    </row>
    <row r="323" spans="1:29" x14ac:dyDescent="0.25">
      <c r="A323" t="s">
        <v>537</v>
      </c>
      <c r="D323" t="s">
        <v>1531</v>
      </c>
      <c r="E323" t="s">
        <v>1986</v>
      </c>
      <c r="F323" t="s">
        <v>2073</v>
      </c>
      <c r="G323" t="s">
        <v>2091</v>
      </c>
      <c r="H323" t="s">
        <v>2094</v>
      </c>
      <c r="I323" t="s">
        <v>2099</v>
      </c>
      <c r="J323">
        <v>3667</v>
      </c>
      <c r="K323">
        <v>26.63</v>
      </c>
      <c r="L323">
        <v>2.2999999999999998</v>
      </c>
      <c r="M323">
        <v>16.489999999999998</v>
      </c>
      <c r="N323">
        <v>2</v>
      </c>
      <c r="O323">
        <v>6</v>
      </c>
      <c r="P323">
        <v>197.88</v>
      </c>
      <c r="Q323">
        <v>0.52</v>
      </c>
      <c r="R323">
        <v>197.36</v>
      </c>
      <c r="AC323" s="1">
        <v>40676</v>
      </c>
    </row>
    <row r="324" spans="1:29" x14ac:dyDescent="0.25">
      <c r="A324" t="s">
        <v>553</v>
      </c>
      <c r="D324" t="s">
        <v>1547</v>
      </c>
      <c r="E324" t="s">
        <v>2068</v>
      </c>
      <c r="F324" t="s">
        <v>2079</v>
      </c>
      <c r="G324" t="s">
        <v>2091</v>
      </c>
      <c r="H324" t="s">
        <v>2096</v>
      </c>
      <c r="I324" t="s">
        <v>2104</v>
      </c>
      <c r="J324">
        <v>1041</v>
      </c>
      <c r="K324">
        <v>39.130000000000003</v>
      </c>
      <c r="L324">
        <v>4.4000000000000004</v>
      </c>
      <c r="M324">
        <v>36.020000000000003</v>
      </c>
      <c r="N324">
        <v>2</v>
      </c>
      <c r="O324">
        <v>17</v>
      </c>
      <c r="P324">
        <v>1224.68</v>
      </c>
      <c r="Q324">
        <v>4.32</v>
      </c>
      <c r="R324">
        <v>1220.3599999999999</v>
      </c>
      <c r="AC324" s="1">
        <v>42443</v>
      </c>
    </row>
    <row r="325" spans="1:29" x14ac:dyDescent="0.25">
      <c r="A325" t="s">
        <v>631</v>
      </c>
      <c r="D325" t="s">
        <v>1616</v>
      </c>
      <c r="E325" t="s">
        <v>2024</v>
      </c>
      <c r="F325" t="s">
        <v>2079</v>
      </c>
      <c r="G325" t="s">
        <v>2091</v>
      </c>
      <c r="H325" t="s">
        <v>2094</v>
      </c>
      <c r="I325" t="s">
        <v>2100</v>
      </c>
      <c r="J325">
        <v>1705</v>
      </c>
      <c r="K325">
        <v>11.55</v>
      </c>
      <c r="L325">
        <v>1.6</v>
      </c>
      <c r="M325">
        <v>19.829999999999998</v>
      </c>
      <c r="N325">
        <v>1</v>
      </c>
      <c r="O325">
        <v>13</v>
      </c>
      <c r="P325">
        <v>257.78999999999996</v>
      </c>
      <c r="Q325">
        <v>1.86</v>
      </c>
      <c r="R325">
        <v>255.93</v>
      </c>
      <c r="AC325" s="1">
        <v>41564</v>
      </c>
    </row>
    <row r="326" spans="1:29" x14ac:dyDescent="0.25">
      <c r="A326" t="s">
        <v>692</v>
      </c>
      <c r="D326" t="s">
        <v>1674</v>
      </c>
      <c r="E326" t="s">
        <v>2070</v>
      </c>
      <c r="F326" t="s">
        <v>2078</v>
      </c>
      <c r="G326" t="s">
        <v>2091</v>
      </c>
      <c r="H326" t="s">
        <v>2093</v>
      </c>
      <c r="I326" t="s">
        <v>2107</v>
      </c>
      <c r="J326">
        <v>3334</v>
      </c>
      <c r="K326">
        <v>36.619999999999997</v>
      </c>
      <c r="L326">
        <v>2.9</v>
      </c>
      <c r="M326">
        <v>7.23</v>
      </c>
      <c r="N326">
        <v>1</v>
      </c>
      <c r="O326">
        <v>17</v>
      </c>
      <c r="P326">
        <v>122.91000000000001</v>
      </c>
      <c r="Q326">
        <v>7.23</v>
      </c>
      <c r="R326">
        <v>115.68</v>
      </c>
      <c r="AC326" s="1">
        <v>42153</v>
      </c>
    </row>
    <row r="327" spans="1:29" x14ac:dyDescent="0.25">
      <c r="A327" t="s">
        <v>703</v>
      </c>
      <c r="D327" t="s">
        <v>1683</v>
      </c>
      <c r="E327" t="s">
        <v>2003</v>
      </c>
      <c r="F327" t="s">
        <v>2076</v>
      </c>
      <c r="G327" t="s">
        <v>2091</v>
      </c>
      <c r="H327" t="s">
        <v>2092</v>
      </c>
      <c r="I327" t="s">
        <v>2102</v>
      </c>
      <c r="J327">
        <v>500</v>
      </c>
      <c r="K327">
        <v>13.48</v>
      </c>
      <c r="L327">
        <v>3.6</v>
      </c>
      <c r="M327">
        <v>31.53</v>
      </c>
      <c r="N327">
        <v>4</v>
      </c>
      <c r="O327">
        <v>11</v>
      </c>
      <c r="P327">
        <v>1387.3200000000002</v>
      </c>
      <c r="Q327">
        <v>8.84</v>
      </c>
      <c r="R327">
        <v>1378.48</v>
      </c>
      <c r="AC327" s="1">
        <v>41776</v>
      </c>
    </row>
    <row r="328" spans="1:29" x14ac:dyDescent="0.25">
      <c r="A328" t="s">
        <v>836</v>
      </c>
      <c r="D328" t="s">
        <v>1805</v>
      </c>
      <c r="E328" t="s">
        <v>2018</v>
      </c>
      <c r="F328" t="s">
        <v>2076</v>
      </c>
      <c r="G328" t="s">
        <v>2091</v>
      </c>
      <c r="H328" t="s">
        <v>2093</v>
      </c>
      <c r="I328" t="s">
        <v>2098</v>
      </c>
      <c r="J328">
        <v>973</v>
      </c>
      <c r="K328">
        <v>22.33</v>
      </c>
      <c r="L328">
        <v>1.2</v>
      </c>
      <c r="M328">
        <v>21.43</v>
      </c>
      <c r="N328">
        <v>5</v>
      </c>
      <c r="O328">
        <v>3</v>
      </c>
      <c r="P328">
        <v>321.45000000000005</v>
      </c>
      <c r="Q328">
        <v>5.3</v>
      </c>
      <c r="R328">
        <v>316.14999999999998</v>
      </c>
      <c r="AC328" s="1">
        <v>41618</v>
      </c>
    </row>
    <row r="329" spans="1:29" x14ac:dyDescent="0.25">
      <c r="A329" t="s">
        <v>872</v>
      </c>
      <c r="D329" t="s">
        <v>1838</v>
      </c>
      <c r="E329" t="s">
        <v>1997</v>
      </c>
      <c r="F329" t="s">
        <v>2078</v>
      </c>
      <c r="G329" t="s">
        <v>2091</v>
      </c>
      <c r="H329" t="s">
        <v>2093</v>
      </c>
      <c r="I329" t="s">
        <v>2102</v>
      </c>
      <c r="J329">
        <v>950</v>
      </c>
      <c r="K329">
        <v>24.51</v>
      </c>
      <c r="L329">
        <v>1.1000000000000001</v>
      </c>
      <c r="M329">
        <v>35.99</v>
      </c>
      <c r="N329">
        <v>5</v>
      </c>
      <c r="O329">
        <v>1</v>
      </c>
      <c r="P329">
        <v>179.95000000000002</v>
      </c>
      <c r="Q329">
        <v>5.08</v>
      </c>
      <c r="R329">
        <v>174.87</v>
      </c>
      <c r="AC329" s="1">
        <v>42446</v>
      </c>
    </row>
    <row r="330" spans="1:29" x14ac:dyDescent="0.25">
      <c r="A330" t="s">
        <v>904</v>
      </c>
      <c r="D330" t="s">
        <v>1869</v>
      </c>
      <c r="E330" t="s">
        <v>1982</v>
      </c>
      <c r="F330" t="s">
        <v>2074</v>
      </c>
      <c r="G330" t="s">
        <v>2091</v>
      </c>
      <c r="H330" t="s">
        <v>2095</v>
      </c>
      <c r="I330" t="s">
        <v>2106</v>
      </c>
      <c r="J330">
        <v>2127</v>
      </c>
      <c r="K330">
        <v>28.55</v>
      </c>
      <c r="L330">
        <v>1.4</v>
      </c>
      <c r="M330">
        <v>18.64</v>
      </c>
      <c r="N330">
        <v>3</v>
      </c>
      <c r="O330">
        <v>10</v>
      </c>
      <c r="P330">
        <v>559.20000000000005</v>
      </c>
      <c r="Q330">
        <v>5.5</v>
      </c>
      <c r="R330">
        <v>553.70000000000005</v>
      </c>
      <c r="AC330" s="1">
        <v>40593</v>
      </c>
    </row>
    <row r="331" spans="1:29" x14ac:dyDescent="0.25">
      <c r="A331" t="s">
        <v>69</v>
      </c>
      <c r="D331" t="s">
        <v>1079</v>
      </c>
      <c r="E331" t="s">
        <v>1984</v>
      </c>
      <c r="F331" t="s">
        <v>2080</v>
      </c>
      <c r="G331" t="s">
        <v>2086</v>
      </c>
      <c r="H331" t="s">
        <v>2092</v>
      </c>
      <c r="I331" t="s">
        <v>2107</v>
      </c>
      <c r="J331">
        <v>3028</v>
      </c>
      <c r="K331">
        <v>16.37</v>
      </c>
      <c r="L331">
        <v>4.9000000000000004</v>
      </c>
      <c r="M331">
        <v>25.25</v>
      </c>
      <c r="N331">
        <v>2</v>
      </c>
      <c r="O331">
        <v>1</v>
      </c>
      <c r="P331">
        <v>50.5</v>
      </c>
      <c r="Q331">
        <v>8.24</v>
      </c>
      <c r="R331">
        <v>42.26</v>
      </c>
      <c r="AC331" s="1">
        <v>42686</v>
      </c>
    </row>
    <row r="332" spans="1:29" x14ac:dyDescent="0.25">
      <c r="A332" t="s">
        <v>273</v>
      </c>
      <c r="D332" t="s">
        <v>1279</v>
      </c>
      <c r="E332" t="s">
        <v>2050</v>
      </c>
      <c r="F332" t="s">
        <v>2080</v>
      </c>
      <c r="G332" t="s">
        <v>2086</v>
      </c>
      <c r="H332" t="s">
        <v>2096</v>
      </c>
      <c r="I332" t="s">
        <v>2105</v>
      </c>
      <c r="J332">
        <v>1210</v>
      </c>
      <c r="K332">
        <v>35.18</v>
      </c>
      <c r="L332">
        <v>2.5</v>
      </c>
      <c r="M332">
        <v>28.54</v>
      </c>
      <c r="N332">
        <v>5</v>
      </c>
      <c r="O332">
        <v>5</v>
      </c>
      <c r="P332">
        <v>713.5</v>
      </c>
      <c r="Q332">
        <v>9.43</v>
      </c>
      <c r="R332">
        <v>704.07</v>
      </c>
      <c r="AC332" s="1">
        <v>40281</v>
      </c>
    </row>
    <row r="333" spans="1:29" x14ac:dyDescent="0.25">
      <c r="A333" t="s">
        <v>361</v>
      </c>
      <c r="D333" t="s">
        <v>1363</v>
      </c>
      <c r="E333" t="s">
        <v>2067</v>
      </c>
      <c r="F333" t="s">
        <v>2075</v>
      </c>
      <c r="G333" t="s">
        <v>2086</v>
      </c>
      <c r="H333" t="s">
        <v>2095</v>
      </c>
      <c r="I333" t="s">
        <v>2107</v>
      </c>
      <c r="J333">
        <v>1279</v>
      </c>
      <c r="K333">
        <v>35.479999999999997</v>
      </c>
      <c r="L333">
        <v>1.4</v>
      </c>
      <c r="M333">
        <v>6.39</v>
      </c>
      <c r="N333">
        <v>4</v>
      </c>
      <c r="O333">
        <v>3</v>
      </c>
      <c r="P333">
        <v>76.679999999999993</v>
      </c>
      <c r="Q333">
        <v>9.9499999999999993</v>
      </c>
      <c r="R333">
        <v>66.73</v>
      </c>
      <c r="AC333" s="1">
        <v>42335</v>
      </c>
    </row>
    <row r="334" spans="1:29" x14ac:dyDescent="0.25">
      <c r="A334" t="s">
        <v>439</v>
      </c>
      <c r="D334" t="s">
        <v>1437</v>
      </c>
      <c r="E334" t="s">
        <v>1974</v>
      </c>
      <c r="F334" t="s">
        <v>2080</v>
      </c>
      <c r="G334" t="s">
        <v>2086</v>
      </c>
      <c r="H334" t="s">
        <v>2094</v>
      </c>
      <c r="I334" t="s">
        <v>2107</v>
      </c>
      <c r="J334">
        <v>3180</v>
      </c>
      <c r="K334">
        <v>44.35</v>
      </c>
      <c r="L334">
        <v>3.5</v>
      </c>
      <c r="M334">
        <v>31.58</v>
      </c>
      <c r="N334">
        <v>4</v>
      </c>
      <c r="O334">
        <v>16</v>
      </c>
      <c r="P334">
        <v>2021.12</v>
      </c>
      <c r="Q334">
        <v>0.24</v>
      </c>
      <c r="R334">
        <v>2020.88</v>
      </c>
      <c r="AC334" s="1">
        <v>42437</v>
      </c>
    </row>
    <row r="335" spans="1:29" x14ac:dyDescent="0.25">
      <c r="A335" t="s">
        <v>488</v>
      </c>
      <c r="D335" t="s">
        <v>1486</v>
      </c>
      <c r="E335" t="s">
        <v>2057</v>
      </c>
      <c r="F335" t="s">
        <v>2081</v>
      </c>
      <c r="G335" t="s">
        <v>2086</v>
      </c>
      <c r="H335" t="s">
        <v>2095</v>
      </c>
      <c r="I335" t="s">
        <v>2107</v>
      </c>
      <c r="J335">
        <v>3686</v>
      </c>
      <c r="K335">
        <v>47.82</v>
      </c>
      <c r="L335">
        <v>1.3</v>
      </c>
      <c r="M335">
        <v>39.75</v>
      </c>
      <c r="N335">
        <v>5</v>
      </c>
      <c r="O335">
        <v>10</v>
      </c>
      <c r="P335">
        <v>1987.5</v>
      </c>
      <c r="Q335">
        <v>3.5</v>
      </c>
      <c r="R335">
        <v>1984</v>
      </c>
      <c r="AC335" s="1">
        <v>41498</v>
      </c>
    </row>
    <row r="336" spans="1:29" x14ac:dyDescent="0.25">
      <c r="A336" t="s">
        <v>607</v>
      </c>
      <c r="D336" t="s">
        <v>1594</v>
      </c>
      <c r="E336" t="s">
        <v>2037</v>
      </c>
      <c r="F336" t="s">
        <v>2076</v>
      </c>
      <c r="G336" t="s">
        <v>2086</v>
      </c>
      <c r="H336" t="s">
        <v>2094</v>
      </c>
      <c r="I336" t="s">
        <v>2101</v>
      </c>
      <c r="J336">
        <v>1850</v>
      </c>
      <c r="K336">
        <v>32.43</v>
      </c>
      <c r="L336">
        <v>3.6</v>
      </c>
      <c r="M336">
        <v>10.63</v>
      </c>
      <c r="N336">
        <v>3</v>
      </c>
      <c r="O336">
        <v>17</v>
      </c>
      <c r="P336">
        <v>542.13</v>
      </c>
      <c r="Q336">
        <v>5.8</v>
      </c>
      <c r="R336">
        <v>536.33000000000004</v>
      </c>
      <c r="AC336" s="1">
        <v>40476</v>
      </c>
    </row>
    <row r="337" spans="1:29" x14ac:dyDescent="0.25">
      <c r="A337" t="s">
        <v>674</v>
      </c>
      <c r="D337" t="s">
        <v>1656</v>
      </c>
      <c r="E337" t="s">
        <v>2018</v>
      </c>
      <c r="F337" t="s">
        <v>2082</v>
      </c>
      <c r="G337" t="s">
        <v>2086</v>
      </c>
      <c r="H337" t="s">
        <v>2095</v>
      </c>
      <c r="I337" t="s">
        <v>2108</v>
      </c>
      <c r="J337">
        <v>1139</v>
      </c>
      <c r="K337">
        <v>34.89</v>
      </c>
      <c r="L337">
        <v>1.3</v>
      </c>
      <c r="M337">
        <v>30.54</v>
      </c>
      <c r="N337">
        <v>5</v>
      </c>
      <c r="O337">
        <v>9</v>
      </c>
      <c r="P337">
        <v>1374.3</v>
      </c>
      <c r="Q337">
        <v>4.6900000000000004</v>
      </c>
      <c r="R337">
        <v>1369.61</v>
      </c>
      <c r="AC337" s="1">
        <v>41983</v>
      </c>
    </row>
    <row r="338" spans="1:29" x14ac:dyDescent="0.25">
      <c r="A338" t="s">
        <v>725</v>
      </c>
      <c r="D338" t="s">
        <v>1704</v>
      </c>
      <c r="E338" t="s">
        <v>1987</v>
      </c>
      <c r="F338" t="s">
        <v>2074</v>
      </c>
      <c r="G338" t="s">
        <v>2086</v>
      </c>
      <c r="H338" t="s">
        <v>2095</v>
      </c>
      <c r="I338" t="s">
        <v>2104</v>
      </c>
      <c r="J338">
        <v>185</v>
      </c>
      <c r="K338">
        <v>18.75</v>
      </c>
      <c r="L338">
        <v>4.5999999999999996</v>
      </c>
      <c r="M338">
        <v>34.64</v>
      </c>
      <c r="N338">
        <v>1</v>
      </c>
      <c r="O338">
        <v>20</v>
      </c>
      <c r="P338">
        <v>692.8</v>
      </c>
      <c r="Q338">
        <v>3.97</v>
      </c>
      <c r="R338">
        <v>688.83</v>
      </c>
      <c r="AC338" s="1">
        <v>41406</v>
      </c>
    </row>
    <row r="339" spans="1:29" x14ac:dyDescent="0.25">
      <c r="A339" t="s">
        <v>885</v>
      </c>
      <c r="D339" t="s">
        <v>1851</v>
      </c>
      <c r="E339" t="s">
        <v>2057</v>
      </c>
      <c r="F339" t="s">
        <v>2076</v>
      </c>
      <c r="G339" t="s">
        <v>2086</v>
      </c>
      <c r="H339" t="s">
        <v>2096</v>
      </c>
      <c r="I339" t="s">
        <v>2102</v>
      </c>
      <c r="J339">
        <v>2507</v>
      </c>
      <c r="K339">
        <v>28.71</v>
      </c>
      <c r="L339">
        <v>3.9</v>
      </c>
      <c r="M339">
        <v>14.01</v>
      </c>
      <c r="N339">
        <v>1</v>
      </c>
      <c r="O339">
        <v>18</v>
      </c>
      <c r="P339">
        <v>252.18</v>
      </c>
      <c r="Q339">
        <v>8.82</v>
      </c>
      <c r="R339">
        <v>243.36</v>
      </c>
      <c r="AC339" s="1">
        <v>41281</v>
      </c>
    </row>
    <row r="340" spans="1:29" x14ac:dyDescent="0.25">
      <c r="A340" t="s">
        <v>903</v>
      </c>
      <c r="D340" t="s">
        <v>1868</v>
      </c>
      <c r="E340" t="s">
        <v>2004</v>
      </c>
      <c r="F340" t="s">
        <v>2073</v>
      </c>
      <c r="G340" t="s">
        <v>2086</v>
      </c>
      <c r="H340" t="s">
        <v>2095</v>
      </c>
      <c r="I340" t="s">
        <v>2111</v>
      </c>
      <c r="J340">
        <v>3627</v>
      </c>
      <c r="K340">
        <v>23.87</v>
      </c>
      <c r="L340">
        <v>4.0999999999999996</v>
      </c>
      <c r="M340">
        <v>29.34</v>
      </c>
      <c r="N340">
        <v>4</v>
      </c>
      <c r="O340">
        <v>6</v>
      </c>
      <c r="P340">
        <v>704.16</v>
      </c>
      <c r="Q340">
        <v>4.03</v>
      </c>
      <c r="R340">
        <v>700.13</v>
      </c>
      <c r="AC340" s="1">
        <v>43393</v>
      </c>
    </row>
    <row r="341" spans="1:29" x14ac:dyDescent="0.25">
      <c r="A341" t="s">
        <v>242</v>
      </c>
      <c r="D341" t="s">
        <v>1249</v>
      </c>
      <c r="E341" t="s">
        <v>2021</v>
      </c>
      <c r="F341" t="s">
        <v>2073</v>
      </c>
      <c r="G341" t="s">
        <v>2089</v>
      </c>
      <c r="H341" t="s">
        <v>2092</v>
      </c>
      <c r="I341" t="s">
        <v>2108</v>
      </c>
      <c r="J341">
        <v>1644</v>
      </c>
      <c r="K341">
        <v>24.52</v>
      </c>
      <c r="L341">
        <v>2.6</v>
      </c>
      <c r="M341">
        <v>37.47</v>
      </c>
      <c r="N341">
        <v>3</v>
      </c>
      <c r="O341">
        <v>19</v>
      </c>
      <c r="P341">
        <v>2135.79</v>
      </c>
      <c r="Q341">
        <v>4</v>
      </c>
      <c r="R341">
        <v>2131.79</v>
      </c>
      <c r="AC341" s="1">
        <v>41236</v>
      </c>
    </row>
    <row r="342" spans="1:29" x14ac:dyDescent="0.25">
      <c r="A342" t="s">
        <v>412</v>
      </c>
      <c r="D342" t="s">
        <v>1411</v>
      </c>
      <c r="E342" t="s">
        <v>2011</v>
      </c>
      <c r="F342" t="s">
        <v>2076</v>
      </c>
      <c r="G342" t="s">
        <v>2089</v>
      </c>
      <c r="H342" t="s">
        <v>2094</v>
      </c>
      <c r="I342" t="s">
        <v>2109</v>
      </c>
      <c r="J342">
        <v>1695</v>
      </c>
      <c r="K342">
        <v>48.85</v>
      </c>
      <c r="L342">
        <v>2.9</v>
      </c>
      <c r="M342">
        <v>23.12</v>
      </c>
      <c r="N342">
        <v>3</v>
      </c>
      <c r="O342">
        <v>5</v>
      </c>
      <c r="P342">
        <v>346.8</v>
      </c>
      <c r="Q342">
        <v>8.41</v>
      </c>
      <c r="R342">
        <v>338.39</v>
      </c>
      <c r="AC342" s="1">
        <v>41401</v>
      </c>
    </row>
    <row r="343" spans="1:29" x14ac:dyDescent="0.25">
      <c r="A343" t="s">
        <v>434</v>
      </c>
      <c r="D343" t="s">
        <v>1432</v>
      </c>
      <c r="E343" t="s">
        <v>2006</v>
      </c>
      <c r="F343" t="s">
        <v>2081</v>
      </c>
      <c r="G343" t="s">
        <v>2089</v>
      </c>
      <c r="H343" t="s">
        <v>2092</v>
      </c>
      <c r="I343" t="s">
        <v>2107</v>
      </c>
      <c r="J343">
        <v>4692</v>
      </c>
      <c r="K343">
        <v>27.18</v>
      </c>
      <c r="L343">
        <v>4.8</v>
      </c>
      <c r="M343">
        <v>10.73</v>
      </c>
      <c r="N343">
        <v>1</v>
      </c>
      <c r="O343">
        <v>18</v>
      </c>
      <c r="P343">
        <v>193.14000000000001</v>
      </c>
      <c r="Q343">
        <v>6.77</v>
      </c>
      <c r="R343">
        <v>186.37</v>
      </c>
      <c r="AC343" s="1">
        <v>41098</v>
      </c>
    </row>
    <row r="344" spans="1:29" x14ac:dyDescent="0.25">
      <c r="A344" t="s">
        <v>440</v>
      </c>
      <c r="D344" t="s">
        <v>1438</v>
      </c>
      <c r="E344" t="s">
        <v>2064</v>
      </c>
      <c r="F344" t="s">
        <v>2078</v>
      </c>
      <c r="G344" t="s">
        <v>2089</v>
      </c>
      <c r="H344" t="s">
        <v>2096</v>
      </c>
      <c r="I344" t="s">
        <v>2108</v>
      </c>
      <c r="J344">
        <v>76</v>
      </c>
      <c r="K344">
        <v>7.39</v>
      </c>
      <c r="L344">
        <v>2.2999999999999998</v>
      </c>
      <c r="M344">
        <v>14.42</v>
      </c>
      <c r="N344">
        <v>4</v>
      </c>
      <c r="O344">
        <v>19</v>
      </c>
      <c r="P344">
        <v>1095.92</v>
      </c>
      <c r="Q344">
        <v>9.8000000000000007</v>
      </c>
      <c r="R344">
        <v>1086.1199999999999</v>
      </c>
      <c r="AC344" s="1">
        <v>40935</v>
      </c>
    </row>
    <row r="345" spans="1:29" x14ac:dyDescent="0.25">
      <c r="A345" t="s">
        <v>539</v>
      </c>
      <c r="D345" t="s">
        <v>1533</v>
      </c>
      <c r="E345" t="s">
        <v>2002</v>
      </c>
      <c r="F345" t="s">
        <v>2073</v>
      </c>
      <c r="G345" t="s">
        <v>2089</v>
      </c>
      <c r="H345" t="s">
        <v>2096</v>
      </c>
      <c r="I345" t="s">
        <v>2097</v>
      </c>
      <c r="J345">
        <v>2961</v>
      </c>
      <c r="K345">
        <v>36.869999999999997</v>
      </c>
      <c r="L345">
        <v>3.1</v>
      </c>
      <c r="M345">
        <v>34.53</v>
      </c>
      <c r="N345">
        <v>2</v>
      </c>
      <c r="O345">
        <v>5</v>
      </c>
      <c r="P345">
        <v>345.3</v>
      </c>
      <c r="Q345">
        <v>2.3199999999999998</v>
      </c>
      <c r="R345">
        <v>342.98</v>
      </c>
      <c r="AC345" s="1">
        <v>42794</v>
      </c>
    </row>
    <row r="346" spans="1:29" x14ac:dyDescent="0.25">
      <c r="A346" t="s">
        <v>560</v>
      </c>
      <c r="D346" t="s">
        <v>1553</v>
      </c>
      <c r="E346" t="s">
        <v>2053</v>
      </c>
      <c r="F346" t="s">
        <v>2080</v>
      </c>
      <c r="G346" t="s">
        <v>2089</v>
      </c>
      <c r="H346" t="s">
        <v>2095</v>
      </c>
      <c r="I346" t="s">
        <v>2110</v>
      </c>
      <c r="J346">
        <v>4344</v>
      </c>
      <c r="K346">
        <v>7.78</v>
      </c>
      <c r="L346">
        <v>4.8</v>
      </c>
      <c r="M346">
        <v>27.13</v>
      </c>
      <c r="N346">
        <v>5</v>
      </c>
      <c r="O346">
        <v>14</v>
      </c>
      <c r="P346">
        <v>1899.1000000000001</v>
      </c>
      <c r="Q346">
        <v>7.58</v>
      </c>
      <c r="R346">
        <v>1891.52</v>
      </c>
      <c r="AC346" s="1">
        <v>40348</v>
      </c>
    </row>
    <row r="347" spans="1:29" x14ac:dyDescent="0.25">
      <c r="A347" t="s">
        <v>574</v>
      </c>
      <c r="D347" t="s">
        <v>1565</v>
      </c>
      <c r="E347" t="s">
        <v>1984</v>
      </c>
      <c r="F347" t="s">
        <v>2081</v>
      </c>
      <c r="G347" t="s">
        <v>2089</v>
      </c>
      <c r="H347" t="s">
        <v>2092</v>
      </c>
      <c r="I347" t="s">
        <v>2100</v>
      </c>
      <c r="J347">
        <v>3036</v>
      </c>
      <c r="K347">
        <v>38.159999999999997</v>
      </c>
      <c r="L347">
        <v>3.7</v>
      </c>
      <c r="M347">
        <v>28</v>
      </c>
      <c r="N347">
        <v>2</v>
      </c>
      <c r="O347">
        <v>5</v>
      </c>
      <c r="P347">
        <v>280</v>
      </c>
      <c r="Q347">
        <v>8.6300000000000008</v>
      </c>
      <c r="R347">
        <v>271.37</v>
      </c>
      <c r="AC347" s="1">
        <v>40814</v>
      </c>
    </row>
    <row r="348" spans="1:29" x14ac:dyDescent="0.25">
      <c r="A348" t="s">
        <v>676</v>
      </c>
      <c r="D348" t="s">
        <v>1658</v>
      </c>
      <c r="E348" t="s">
        <v>2032</v>
      </c>
      <c r="F348" t="s">
        <v>2078</v>
      </c>
      <c r="G348" t="s">
        <v>2089</v>
      </c>
      <c r="H348" t="s">
        <v>2095</v>
      </c>
      <c r="I348" t="s">
        <v>2105</v>
      </c>
      <c r="J348">
        <v>1996</v>
      </c>
      <c r="K348">
        <v>19.59</v>
      </c>
      <c r="L348">
        <v>1.7</v>
      </c>
      <c r="M348">
        <v>28.44</v>
      </c>
      <c r="N348">
        <v>5</v>
      </c>
      <c r="O348">
        <v>14</v>
      </c>
      <c r="P348">
        <v>1990.8000000000002</v>
      </c>
      <c r="Q348">
        <v>4.95</v>
      </c>
      <c r="R348">
        <v>1985.85</v>
      </c>
      <c r="AC348" s="1">
        <v>41677</v>
      </c>
    </row>
    <row r="349" spans="1:29" x14ac:dyDescent="0.25">
      <c r="A349" t="s">
        <v>772</v>
      </c>
      <c r="D349" t="s">
        <v>1748</v>
      </c>
      <c r="E349" t="s">
        <v>2052</v>
      </c>
      <c r="F349" t="s">
        <v>2079</v>
      </c>
      <c r="G349" t="s">
        <v>2089</v>
      </c>
      <c r="H349" t="s">
        <v>2093</v>
      </c>
      <c r="I349" t="s">
        <v>2111</v>
      </c>
      <c r="J349">
        <v>3098</v>
      </c>
      <c r="K349">
        <v>6.51</v>
      </c>
      <c r="L349">
        <v>2.6</v>
      </c>
      <c r="M349">
        <v>21.84</v>
      </c>
      <c r="N349">
        <v>5</v>
      </c>
      <c r="O349">
        <v>15</v>
      </c>
      <c r="P349">
        <v>1638</v>
      </c>
      <c r="Q349">
        <v>3.04</v>
      </c>
      <c r="R349">
        <v>1634.96</v>
      </c>
      <c r="AC349" s="1">
        <v>40939</v>
      </c>
    </row>
    <row r="350" spans="1:29" x14ac:dyDescent="0.25">
      <c r="A350" t="s">
        <v>783</v>
      </c>
      <c r="D350" t="s">
        <v>1759</v>
      </c>
      <c r="E350" t="s">
        <v>1987</v>
      </c>
      <c r="F350" t="s">
        <v>2080</v>
      </c>
      <c r="G350" t="s">
        <v>2089</v>
      </c>
      <c r="H350" t="s">
        <v>2096</v>
      </c>
      <c r="I350" t="s">
        <v>2105</v>
      </c>
      <c r="J350">
        <v>1682</v>
      </c>
      <c r="K350">
        <v>17.93</v>
      </c>
      <c r="L350">
        <v>2.5</v>
      </c>
      <c r="M350">
        <v>35.9</v>
      </c>
      <c r="N350">
        <v>4</v>
      </c>
      <c r="O350">
        <v>19</v>
      </c>
      <c r="P350">
        <v>2728.4</v>
      </c>
      <c r="Q350">
        <v>9.74</v>
      </c>
      <c r="R350">
        <v>2718.66</v>
      </c>
      <c r="AC350" s="1">
        <v>42520</v>
      </c>
    </row>
    <row r="351" spans="1:29" x14ac:dyDescent="0.25">
      <c r="A351" t="s">
        <v>785</v>
      </c>
      <c r="D351" t="s">
        <v>1761</v>
      </c>
      <c r="E351" t="s">
        <v>1990</v>
      </c>
      <c r="F351" t="s">
        <v>2080</v>
      </c>
      <c r="G351" t="s">
        <v>2089</v>
      </c>
      <c r="H351" t="s">
        <v>2096</v>
      </c>
      <c r="I351" t="s">
        <v>2110</v>
      </c>
      <c r="J351">
        <v>2489</v>
      </c>
      <c r="K351">
        <v>7.6</v>
      </c>
      <c r="L351">
        <v>4.9000000000000004</v>
      </c>
      <c r="M351">
        <v>33.380000000000003</v>
      </c>
      <c r="N351">
        <v>3</v>
      </c>
      <c r="O351">
        <v>12</v>
      </c>
      <c r="P351">
        <v>1201.6800000000003</v>
      </c>
      <c r="Q351">
        <v>8.33</v>
      </c>
      <c r="R351">
        <v>1193.3499999999999</v>
      </c>
      <c r="AC351" s="1">
        <v>41231</v>
      </c>
    </row>
    <row r="352" spans="1:29" x14ac:dyDescent="0.25">
      <c r="A352" t="s">
        <v>811</v>
      </c>
      <c r="D352" t="s">
        <v>1782</v>
      </c>
      <c r="E352" t="s">
        <v>2013</v>
      </c>
      <c r="F352" t="s">
        <v>2077</v>
      </c>
      <c r="G352" t="s">
        <v>2089</v>
      </c>
      <c r="H352" t="s">
        <v>2094</v>
      </c>
      <c r="I352" t="s">
        <v>2101</v>
      </c>
      <c r="J352">
        <v>4527</v>
      </c>
      <c r="K352">
        <v>22.97</v>
      </c>
      <c r="L352">
        <v>1.9</v>
      </c>
      <c r="M352">
        <v>18.68</v>
      </c>
      <c r="N352">
        <v>2</v>
      </c>
      <c r="O352">
        <v>18</v>
      </c>
      <c r="P352">
        <v>672.48</v>
      </c>
      <c r="Q352">
        <v>8.08</v>
      </c>
      <c r="R352">
        <v>664.4</v>
      </c>
      <c r="AC352" s="1">
        <v>41796</v>
      </c>
    </row>
    <row r="353" spans="1:29" x14ac:dyDescent="0.25">
      <c r="A353" t="s">
        <v>868</v>
      </c>
      <c r="D353" t="s">
        <v>1835</v>
      </c>
      <c r="E353" t="s">
        <v>1996</v>
      </c>
      <c r="F353" t="s">
        <v>2081</v>
      </c>
      <c r="G353" t="s">
        <v>2089</v>
      </c>
      <c r="H353" t="s">
        <v>2096</v>
      </c>
      <c r="I353" t="s">
        <v>2105</v>
      </c>
      <c r="J353">
        <v>4066</v>
      </c>
      <c r="K353">
        <v>41.46</v>
      </c>
      <c r="L353">
        <v>1.8</v>
      </c>
      <c r="M353">
        <v>26.72</v>
      </c>
      <c r="N353">
        <v>1</v>
      </c>
      <c r="O353">
        <v>7</v>
      </c>
      <c r="P353">
        <v>187.04</v>
      </c>
      <c r="Q353">
        <v>8.18</v>
      </c>
      <c r="R353">
        <v>178.86</v>
      </c>
      <c r="AC353" s="1">
        <v>42722</v>
      </c>
    </row>
    <row r="354" spans="1:29" x14ac:dyDescent="0.25">
      <c r="A354" t="s">
        <v>888</v>
      </c>
      <c r="D354" t="s">
        <v>1854</v>
      </c>
      <c r="E354" t="s">
        <v>2031</v>
      </c>
      <c r="F354" t="s">
        <v>2078</v>
      </c>
      <c r="G354" t="s">
        <v>2089</v>
      </c>
      <c r="H354" t="s">
        <v>2093</v>
      </c>
      <c r="I354" t="s">
        <v>2107</v>
      </c>
      <c r="J354">
        <v>1801</v>
      </c>
      <c r="K354">
        <v>45.83</v>
      </c>
      <c r="L354">
        <v>3.8</v>
      </c>
      <c r="M354">
        <v>26.8</v>
      </c>
      <c r="N354">
        <v>3</v>
      </c>
      <c r="O354">
        <v>14</v>
      </c>
      <c r="P354">
        <v>1125.6000000000001</v>
      </c>
      <c r="Q354">
        <v>6.48</v>
      </c>
      <c r="R354">
        <v>1119.1199999999999</v>
      </c>
      <c r="AC354" s="1">
        <v>43322</v>
      </c>
    </row>
    <row r="355" spans="1:29" x14ac:dyDescent="0.25">
      <c r="A355" t="s">
        <v>922</v>
      </c>
      <c r="D355" t="s">
        <v>1887</v>
      </c>
      <c r="E355" t="s">
        <v>2015</v>
      </c>
      <c r="F355" t="s">
        <v>2075</v>
      </c>
      <c r="G355" t="s">
        <v>2089</v>
      </c>
      <c r="H355" t="s">
        <v>2095</v>
      </c>
      <c r="I355" t="s">
        <v>2109</v>
      </c>
      <c r="J355">
        <v>3440</v>
      </c>
      <c r="K355">
        <v>29.88</v>
      </c>
      <c r="L355">
        <v>3.2</v>
      </c>
      <c r="M355">
        <v>31.85</v>
      </c>
      <c r="N355">
        <v>1</v>
      </c>
      <c r="O355">
        <v>7</v>
      </c>
      <c r="P355">
        <v>222.95000000000002</v>
      </c>
      <c r="Q355">
        <v>3.54</v>
      </c>
      <c r="R355">
        <v>219.41</v>
      </c>
      <c r="AC355" s="1">
        <v>43189</v>
      </c>
    </row>
    <row r="356" spans="1:29" x14ac:dyDescent="0.25">
      <c r="A356" t="s">
        <v>953</v>
      </c>
      <c r="D356" t="s">
        <v>1567</v>
      </c>
      <c r="E356" t="s">
        <v>2053</v>
      </c>
      <c r="F356" t="s">
        <v>2078</v>
      </c>
      <c r="G356" t="s">
        <v>2089</v>
      </c>
      <c r="H356" t="s">
        <v>2092</v>
      </c>
      <c r="I356" t="s">
        <v>2098</v>
      </c>
      <c r="J356">
        <v>816</v>
      </c>
      <c r="K356">
        <v>23.03</v>
      </c>
      <c r="L356">
        <v>4</v>
      </c>
      <c r="M356">
        <v>14.35</v>
      </c>
      <c r="N356">
        <v>2</v>
      </c>
      <c r="O356">
        <v>5</v>
      </c>
      <c r="P356">
        <v>143.5</v>
      </c>
      <c r="Q356">
        <v>4.9400000000000004</v>
      </c>
      <c r="R356">
        <v>138.56</v>
      </c>
      <c r="AC356" s="1">
        <v>41168</v>
      </c>
    </row>
    <row r="357" spans="1:29" x14ac:dyDescent="0.25">
      <c r="A357" t="s">
        <v>504</v>
      </c>
      <c r="D357" t="s">
        <v>1500</v>
      </c>
      <c r="E357" t="s">
        <v>2006</v>
      </c>
      <c r="F357" t="s">
        <v>2079</v>
      </c>
      <c r="G357" t="s">
        <v>2084</v>
      </c>
      <c r="H357" t="s">
        <v>2092</v>
      </c>
      <c r="I357" t="s">
        <v>2103</v>
      </c>
      <c r="J357">
        <v>3383</v>
      </c>
      <c r="K357">
        <v>28.57</v>
      </c>
      <c r="L357">
        <v>4.4000000000000004</v>
      </c>
      <c r="M357">
        <v>36.92</v>
      </c>
      <c r="N357">
        <v>2</v>
      </c>
      <c r="O357">
        <v>7</v>
      </c>
      <c r="P357">
        <v>516.88</v>
      </c>
      <c r="Q357">
        <v>3.4</v>
      </c>
      <c r="R357">
        <v>513.48</v>
      </c>
      <c r="AC357" s="1">
        <v>41433</v>
      </c>
    </row>
    <row r="358" spans="1:29" x14ac:dyDescent="0.25">
      <c r="A358" t="s">
        <v>580</v>
      </c>
      <c r="D358" t="s">
        <v>1570</v>
      </c>
      <c r="E358" t="s">
        <v>1978</v>
      </c>
      <c r="F358" t="s">
        <v>2080</v>
      </c>
      <c r="G358" t="s">
        <v>2084</v>
      </c>
      <c r="H358" t="s">
        <v>2096</v>
      </c>
      <c r="I358" t="s">
        <v>2105</v>
      </c>
      <c r="J358">
        <v>1014</v>
      </c>
      <c r="K358">
        <v>48.73</v>
      </c>
      <c r="L358">
        <v>2.5</v>
      </c>
      <c r="M358">
        <v>35.76</v>
      </c>
      <c r="N358">
        <v>1</v>
      </c>
      <c r="O358">
        <v>11</v>
      </c>
      <c r="P358">
        <v>393.35999999999996</v>
      </c>
      <c r="Q358">
        <v>8.6199999999999992</v>
      </c>
      <c r="R358">
        <v>384.74</v>
      </c>
      <c r="AC358" s="1">
        <v>41204</v>
      </c>
    </row>
    <row r="359" spans="1:29" x14ac:dyDescent="0.25">
      <c r="A359" t="s">
        <v>582</v>
      </c>
      <c r="D359" t="s">
        <v>1080</v>
      </c>
      <c r="E359" t="s">
        <v>1989</v>
      </c>
      <c r="F359" t="s">
        <v>2073</v>
      </c>
      <c r="G359" t="s">
        <v>2084</v>
      </c>
      <c r="H359" t="s">
        <v>2093</v>
      </c>
      <c r="I359" t="s">
        <v>2102</v>
      </c>
      <c r="J359">
        <v>2378</v>
      </c>
      <c r="K359">
        <v>33.31</v>
      </c>
      <c r="L359">
        <v>4.2</v>
      </c>
      <c r="M359">
        <v>13.6</v>
      </c>
      <c r="N359">
        <v>5</v>
      </c>
      <c r="O359">
        <v>6</v>
      </c>
      <c r="P359">
        <v>408</v>
      </c>
      <c r="Q359">
        <v>0.01</v>
      </c>
      <c r="R359">
        <v>407.99</v>
      </c>
      <c r="AC359" s="1">
        <v>41901</v>
      </c>
    </row>
    <row r="360" spans="1:29" x14ac:dyDescent="0.25">
      <c r="A360" t="s">
        <v>590</v>
      </c>
      <c r="D360" t="s">
        <v>1577</v>
      </c>
      <c r="E360" t="s">
        <v>2020</v>
      </c>
      <c r="F360" t="s">
        <v>2073</v>
      </c>
      <c r="G360" t="s">
        <v>2084</v>
      </c>
      <c r="H360" t="s">
        <v>2094</v>
      </c>
      <c r="I360" t="s">
        <v>2107</v>
      </c>
      <c r="J360">
        <v>3240</v>
      </c>
      <c r="K360">
        <v>21</v>
      </c>
      <c r="L360">
        <v>3.6</v>
      </c>
      <c r="M360">
        <v>27.72</v>
      </c>
      <c r="N360">
        <v>3</v>
      </c>
      <c r="O360">
        <v>8</v>
      </c>
      <c r="P360">
        <v>665.28</v>
      </c>
      <c r="Q360">
        <v>0.82</v>
      </c>
      <c r="R360">
        <v>664.46</v>
      </c>
      <c r="AC360" s="1">
        <v>40716</v>
      </c>
    </row>
    <row r="361" spans="1:29" x14ac:dyDescent="0.25">
      <c r="A361" t="s">
        <v>639</v>
      </c>
      <c r="D361" t="s">
        <v>1624</v>
      </c>
      <c r="E361" t="s">
        <v>2060</v>
      </c>
      <c r="F361" t="s">
        <v>2075</v>
      </c>
      <c r="G361" t="s">
        <v>2084</v>
      </c>
      <c r="H361" t="s">
        <v>2094</v>
      </c>
      <c r="I361" t="s">
        <v>2101</v>
      </c>
      <c r="J361">
        <v>583</v>
      </c>
      <c r="K361">
        <v>15.26</v>
      </c>
      <c r="L361">
        <v>2.7</v>
      </c>
      <c r="M361">
        <v>27.69</v>
      </c>
      <c r="N361">
        <v>4</v>
      </c>
      <c r="O361">
        <v>4</v>
      </c>
      <c r="P361">
        <v>443.04</v>
      </c>
      <c r="Q361">
        <v>4.4800000000000004</v>
      </c>
      <c r="R361">
        <v>438.56</v>
      </c>
      <c r="AC361" s="1">
        <v>43358</v>
      </c>
    </row>
    <row r="362" spans="1:29" x14ac:dyDescent="0.25">
      <c r="A362" t="s">
        <v>677</v>
      </c>
      <c r="D362" t="s">
        <v>1659</v>
      </c>
      <c r="E362" t="s">
        <v>2069</v>
      </c>
      <c r="F362" t="s">
        <v>2073</v>
      </c>
      <c r="G362" t="s">
        <v>2084</v>
      </c>
      <c r="H362" t="s">
        <v>2092</v>
      </c>
      <c r="I362" t="s">
        <v>2099</v>
      </c>
      <c r="J362">
        <v>1647</v>
      </c>
      <c r="K362">
        <v>37.22</v>
      </c>
      <c r="L362">
        <v>3.9</v>
      </c>
      <c r="M362">
        <v>5.19</v>
      </c>
      <c r="N362">
        <v>3</v>
      </c>
      <c r="O362">
        <v>13</v>
      </c>
      <c r="P362">
        <v>202.41</v>
      </c>
      <c r="Q362">
        <v>1.61</v>
      </c>
      <c r="R362">
        <v>200.8</v>
      </c>
      <c r="AC362" s="1">
        <v>42658</v>
      </c>
    </row>
    <row r="363" spans="1:29" x14ac:dyDescent="0.25">
      <c r="A363" t="s">
        <v>686</v>
      </c>
      <c r="D363" t="s">
        <v>1668</v>
      </c>
      <c r="E363" t="s">
        <v>2068</v>
      </c>
      <c r="F363" t="s">
        <v>2078</v>
      </c>
      <c r="G363" t="s">
        <v>2084</v>
      </c>
      <c r="H363" t="s">
        <v>2093</v>
      </c>
      <c r="I363" t="s">
        <v>2098</v>
      </c>
      <c r="J363">
        <v>4343</v>
      </c>
      <c r="K363">
        <v>35.72</v>
      </c>
      <c r="L363">
        <v>2.2000000000000002</v>
      </c>
      <c r="M363">
        <v>9.1999999999999993</v>
      </c>
      <c r="N363">
        <v>3</v>
      </c>
      <c r="O363">
        <v>2</v>
      </c>
      <c r="P363">
        <v>55.199999999999996</v>
      </c>
      <c r="Q363">
        <v>5.99</v>
      </c>
      <c r="R363">
        <v>49.21</v>
      </c>
      <c r="AC363" s="1">
        <v>42745</v>
      </c>
    </row>
    <row r="364" spans="1:29" x14ac:dyDescent="0.25">
      <c r="A364" t="s">
        <v>698</v>
      </c>
      <c r="D364" t="s">
        <v>1679</v>
      </c>
      <c r="E364" t="s">
        <v>2069</v>
      </c>
      <c r="F364" t="s">
        <v>2075</v>
      </c>
      <c r="G364" t="s">
        <v>2084</v>
      </c>
      <c r="H364" t="s">
        <v>2092</v>
      </c>
      <c r="I364" t="s">
        <v>2108</v>
      </c>
      <c r="J364">
        <v>2784</v>
      </c>
      <c r="K364">
        <v>10.27</v>
      </c>
      <c r="L364">
        <v>2.9</v>
      </c>
      <c r="M364">
        <v>5.33</v>
      </c>
      <c r="N364">
        <v>5</v>
      </c>
      <c r="O364">
        <v>19</v>
      </c>
      <c r="P364">
        <v>506.34999999999997</v>
      </c>
      <c r="Q364">
        <v>3.39</v>
      </c>
      <c r="R364">
        <v>502.96</v>
      </c>
      <c r="AC364" s="1">
        <v>41079</v>
      </c>
    </row>
    <row r="365" spans="1:29" x14ac:dyDescent="0.25">
      <c r="A365" t="s">
        <v>714</v>
      </c>
      <c r="D365" t="s">
        <v>1693</v>
      </c>
      <c r="E365" t="s">
        <v>2061</v>
      </c>
      <c r="F365" t="s">
        <v>2082</v>
      </c>
      <c r="G365" t="s">
        <v>2084</v>
      </c>
      <c r="H365" t="s">
        <v>2095</v>
      </c>
      <c r="I365" t="s">
        <v>2106</v>
      </c>
      <c r="J365">
        <v>728</v>
      </c>
      <c r="K365">
        <v>49.46</v>
      </c>
      <c r="L365">
        <v>3.8</v>
      </c>
      <c r="M365">
        <v>7.91</v>
      </c>
      <c r="N365">
        <v>3</v>
      </c>
      <c r="O365">
        <v>20</v>
      </c>
      <c r="P365">
        <v>474.6</v>
      </c>
      <c r="Q365">
        <v>1.98</v>
      </c>
      <c r="R365">
        <v>472.62</v>
      </c>
      <c r="AC365" s="1">
        <v>41038</v>
      </c>
    </row>
    <row r="366" spans="1:29" x14ac:dyDescent="0.25">
      <c r="A366" t="s">
        <v>845</v>
      </c>
      <c r="D366" t="s">
        <v>1814</v>
      </c>
      <c r="E366" t="s">
        <v>2065</v>
      </c>
      <c r="F366" t="s">
        <v>2074</v>
      </c>
      <c r="G366" t="s">
        <v>2084</v>
      </c>
      <c r="H366" t="s">
        <v>2093</v>
      </c>
      <c r="I366" t="s">
        <v>2101</v>
      </c>
      <c r="J366">
        <v>4124</v>
      </c>
      <c r="K366">
        <v>13.14</v>
      </c>
      <c r="L366">
        <v>2.8</v>
      </c>
      <c r="M366">
        <v>30.21</v>
      </c>
      <c r="N366">
        <v>1</v>
      </c>
      <c r="O366">
        <v>19</v>
      </c>
      <c r="P366">
        <v>573.99</v>
      </c>
      <c r="Q366">
        <v>2.6</v>
      </c>
      <c r="R366">
        <v>571.39</v>
      </c>
      <c r="AC366" s="1">
        <v>42223</v>
      </c>
    </row>
    <row r="367" spans="1:29" x14ac:dyDescent="0.25">
      <c r="A367" t="s">
        <v>851</v>
      </c>
      <c r="D367" t="s">
        <v>1819</v>
      </c>
      <c r="E367" t="s">
        <v>2014</v>
      </c>
      <c r="F367" t="s">
        <v>2073</v>
      </c>
      <c r="G367" t="s">
        <v>2084</v>
      </c>
      <c r="H367" t="s">
        <v>2093</v>
      </c>
      <c r="I367" t="s">
        <v>2103</v>
      </c>
      <c r="J367">
        <v>1419</v>
      </c>
      <c r="K367">
        <v>31.65</v>
      </c>
      <c r="L367">
        <v>4.5</v>
      </c>
      <c r="M367">
        <v>34.17</v>
      </c>
      <c r="N367">
        <v>1</v>
      </c>
      <c r="O367">
        <v>9</v>
      </c>
      <c r="P367">
        <v>307.53000000000003</v>
      </c>
      <c r="Q367">
        <v>7.09</v>
      </c>
      <c r="R367">
        <v>300.44</v>
      </c>
      <c r="AC367" s="1">
        <v>42585</v>
      </c>
    </row>
    <row r="368" spans="1:29" x14ac:dyDescent="0.25">
      <c r="A368" t="s">
        <v>982</v>
      </c>
      <c r="D368" t="s">
        <v>1941</v>
      </c>
      <c r="E368" t="s">
        <v>2056</v>
      </c>
      <c r="F368" t="s">
        <v>2075</v>
      </c>
      <c r="G368" t="s">
        <v>2084</v>
      </c>
      <c r="H368" t="s">
        <v>2096</v>
      </c>
      <c r="I368" t="s">
        <v>2104</v>
      </c>
      <c r="J368">
        <v>3703</v>
      </c>
      <c r="K368">
        <v>25.88</v>
      </c>
      <c r="L368">
        <v>3</v>
      </c>
      <c r="M368">
        <v>33.42</v>
      </c>
      <c r="N368">
        <v>1</v>
      </c>
      <c r="O368">
        <v>13</v>
      </c>
      <c r="P368">
        <v>434.46000000000004</v>
      </c>
      <c r="Q368">
        <v>7.15</v>
      </c>
      <c r="R368">
        <v>427.31</v>
      </c>
      <c r="AC368" s="1">
        <v>42521</v>
      </c>
    </row>
    <row r="369" spans="1:29" x14ac:dyDescent="0.25">
      <c r="A369" t="s">
        <v>1007</v>
      </c>
      <c r="D369" t="s">
        <v>1667</v>
      </c>
      <c r="E369" t="s">
        <v>2031</v>
      </c>
      <c r="F369" t="s">
        <v>2075</v>
      </c>
      <c r="G369" t="s">
        <v>2084</v>
      </c>
      <c r="H369" t="s">
        <v>2092</v>
      </c>
      <c r="I369" t="s">
        <v>2111</v>
      </c>
      <c r="J369">
        <v>3645</v>
      </c>
      <c r="K369">
        <v>36.69</v>
      </c>
      <c r="L369">
        <v>4.2</v>
      </c>
      <c r="M369">
        <v>30.36</v>
      </c>
      <c r="N369">
        <v>2</v>
      </c>
      <c r="O369">
        <v>14</v>
      </c>
      <c r="P369">
        <v>850.07999999999993</v>
      </c>
      <c r="Q369">
        <v>4.83</v>
      </c>
      <c r="R369">
        <v>845.25</v>
      </c>
      <c r="AC369" s="1">
        <v>40840</v>
      </c>
    </row>
    <row r="370" spans="1:29" x14ac:dyDescent="0.25">
      <c r="A370" t="s">
        <v>29</v>
      </c>
      <c r="D370" t="s">
        <v>1039</v>
      </c>
      <c r="E370" t="s">
        <v>1984</v>
      </c>
      <c r="F370" t="s">
        <v>2075</v>
      </c>
      <c r="G370" t="s">
        <v>2090</v>
      </c>
      <c r="H370" t="s">
        <v>2096</v>
      </c>
      <c r="I370" t="s">
        <v>2106</v>
      </c>
      <c r="J370">
        <v>2322</v>
      </c>
      <c r="K370">
        <v>10.23</v>
      </c>
      <c r="L370">
        <v>2.2000000000000002</v>
      </c>
      <c r="M370">
        <v>27.37</v>
      </c>
      <c r="N370">
        <v>1</v>
      </c>
      <c r="O370">
        <v>19</v>
      </c>
      <c r="P370">
        <v>520.03</v>
      </c>
      <c r="Q370">
        <v>7.0000000000000007E-2</v>
      </c>
      <c r="R370">
        <v>519.96</v>
      </c>
      <c r="AC370" s="1">
        <v>42719</v>
      </c>
    </row>
    <row r="371" spans="1:29" x14ac:dyDescent="0.25">
      <c r="A371" t="s">
        <v>51</v>
      </c>
      <c r="D371" t="s">
        <v>1061</v>
      </c>
      <c r="E371" t="s">
        <v>2001</v>
      </c>
      <c r="F371" t="s">
        <v>2073</v>
      </c>
      <c r="G371" t="s">
        <v>2090</v>
      </c>
      <c r="H371" t="s">
        <v>2095</v>
      </c>
      <c r="I371" t="s">
        <v>2100</v>
      </c>
      <c r="J371">
        <v>2823</v>
      </c>
      <c r="K371">
        <v>7.79</v>
      </c>
      <c r="L371">
        <v>4.0999999999999996</v>
      </c>
      <c r="M371">
        <v>19.059999999999999</v>
      </c>
      <c r="N371">
        <v>4</v>
      </c>
      <c r="O371">
        <v>15</v>
      </c>
      <c r="P371">
        <v>1143.5999999999999</v>
      </c>
      <c r="Q371">
        <v>7.69</v>
      </c>
      <c r="R371">
        <v>1135.9100000000001</v>
      </c>
      <c r="AC371" s="1">
        <v>41869</v>
      </c>
    </row>
    <row r="372" spans="1:29" x14ac:dyDescent="0.25">
      <c r="A372" t="s">
        <v>218</v>
      </c>
      <c r="D372" t="s">
        <v>1227</v>
      </c>
      <c r="E372" t="s">
        <v>2058</v>
      </c>
      <c r="F372" t="s">
        <v>2077</v>
      </c>
      <c r="G372" t="s">
        <v>2090</v>
      </c>
      <c r="H372" t="s">
        <v>2095</v>
      </c>
      <c r="I372" t="s">
        <v>2098</v>
      </c>
      <c r="J372">
        <v>3825</v>
      </c>
      <c r="K372">
        <v>18.989999999999998</v>
      </c>
      <c r="L372">
        <v>4.2</v>
      </c>
      <c r="M372">
        <v>10.68</v>
      </c>
      <c r="N372">
        <v>1</v>
      </c>
      <c r="O372">
        <v>10</v>
      </c>
      <c r="P372">
        <v>106.8</v>
      </c>
      <c r="Q372">
        <v>7.93</v>
      </c>
      <c r="R372">
        <v>98.87</v>
      </c>
      <c r="AC372" s="1">
        <v>41515</v>
      </c>
    </row>
    <row r="373" spans="1:29" x14ac:dyDescent="0.25">
      <c r="A373" t="s">
        <v>235</v>
      </c>
      <c r="D373" t="s">
        <v>1205</v>
      </c>
      <c r="E373" t="s">
        <v>2046</v>
      </c>
      <c r="F373" t="s">
        <v>2080</v>
      </c>
      <c r="G373" t="s">
        <v>2090</v>
      </c>
      <c r="H373" t="s">
        <v>2093</v>
      </c>
      <c r="I373" t="s">
        <v>2098</v>
      </c>
      <c r="J373">
        <v>3194</v>
      </c>
      <c r="K373">
        <v>22.87</v>
      </c>
      <c r="L373">
        <v>1.2</v>
      </c>
      <c r="M373">
        <v>7.68</v>
      </c>
      <c r="N373">
        <v>1</v>
      </c>
      <c r="O373">
        <v>3</v>
      </c>
      <c r="P373">
        <v>23.04</v>
      </c>
      <c r="Q373">
        <v>2.8</v>
      </c>
      <c r="R373">
        <v>20.239999999999998</v>
      </c>
      <c r="AC373" s="1">
        <v>41943</v>
      </c>
    </row>
    <row r="374" spans="1:29" x14ac:dyDescent="0.25">
      <c r="A374" t="s">
        <v>325</v>
      </c>
      <c r="D374" t="s">
        <v>1328</v>
      </c>
      <c r="E374" t="s">
        <v>1997</v>
      </c>
      <c r="F374" t="s">
        <v>2073</v>
      </c>
      <c r="G374" t="s">
        <v>2090</v>
      </c>
      <c r="H374" t="s">
        <v>2092</v>
      </c>
      <c r="I374" t="s">
        <v>2102</v>
      </c>
      <c r="J374">
        <v>4113</v>
      </c>
      <c r="K374">
        <v>13.92</v>
      </c>
      <c r="L374">
        <v>4.7</v>
      </c>
      <c r="M374">
        <v>21.98</v>
      </c>
      <c r="N374">
        <v>4</v>
      </c>
      <c r="O374">
        <v>17</v>
      </c>
      <c r="P374">
        <v>1494.64</v>
      </c>
      <c r="Q374">
        <v>9.2799999999999994</v>
      </c>
      <c r="R374">
        <v>1485.36</v>
      </c>
      <c r="AC374" s="1">
        <v>40438</v>
      </c>
    </row>
    <row r="375" spans="1:29" x14ac:dyDescent="0.25">
      <c r="A375" t="s">
        <v>411</v>
      </c>
      <c r="D375" t="s">
        <v>1410</v>
      </c>
      <c r="E375" t="s">
        <v>1973</v>
      </c>
      <c r="F375" t="s">
        <v>2074</v>
      </c>
      <c r="G375" t="s">
        <v>2090</v>
      </c>
      <c r="H375" t="s">
        <v>2095</v>
      </c>
      <c r="I375" t="s">
        <v>2107</v>
      </c>
      <c r="J375">
        <v>4202</v>
      </c>
      <c r="K375">
        <v>33.75</v>
      </c>
      <c r="L375">
        <v>3</v>
      </c>
      <c r="M375">
        <v>17.440000000000001</v>
      </c>
      <c r="N375">
        <v>1</v>
      </c>
      <c r="O375">
        <v>20</v>
      </c>
      <c r="P375">
        <v>348.8</v>
      </c>
      <c r="Q375">
        <v>7.12</v>
      </c>
      <c r="R375">
        <v>341.68</v>
      </c>
      <c r="AC375" s="1">
        <v>41727</v>
      </c>
    </row>
    <row r="376" spans="1:29" x14ac:dyDescent="0.25">
      <c r="A376" t="s">
        <v>498</v>
      </c>
      <c r="D376" t="s">
        <v>1494</v>
      </c>
      <c r="E376" t="s">
        <v>2046</v>
      </c>
      <c r="F376" t="s">
        <v>2073</v>
      </c>
      <c r="G376" t="s">
        <v>2090</v>
      </c>
      <c r="H376" t="s">
        <v>2095</v>
      </c>
      <c r="I376" t="s">
        <v>2100</v>
      </c>
      <c r="J376">
        <v>2701</v>
      </c>
      <c r="K376">
        <v>14.42</v>
      </c>
      <c r="L376">
        <v>1.2</v>
      </c>
      <c r="M376">
        <v>35.64</v>
      </c>
      <c r="N376">
        <v>1</v>
      </c>
      <c r="O376">
        <v>10</v>
      </c>
      <c r="P376">
        <v>356.4</v>
      </c>
      <c r="Q376">
        <v>7.89</v>
      </c>
      <c r="R376">
        <v>348.51</v>
      </c>
      <c r="AC376" s="1">
        <v>43000</v>
      </c>
    </row>
    <row r="377" spans="1:29" x14ac:dyDescent="0.25">
      <c r="A377" t="s">
        <v>610</v>
      </c>
      <c r="D377" t="s">
        <v>1596</v>
      </c>
      <c r="E377" t="s">
        <v>2000</v>
      </c>
      <c r="F377" t="s">
        <v>2076</v>
      </c>
      <c r="G377" t="s">
        <v>2090</v>
      </c>
      <c r="H377" t="s">
        <v>2096</v>
      </c>
      <c r="I377" t="s">
        <v>2098</v>
      </c>
      <c r="J377">
        <v>616</v>
      </c>
      <c r="K377">
        <v>27.8</v>
      </c>
      <c r="L377">
        <v>4.3</v>
      </c>
      <c r="M377">
        <v>12.3</v>
      </c>
      <c r="N377">
        <v>1</v>
      </c>
      <c r="O377">
        <v>1</v>
      </c>
      <c r="P377">
        <v>12.3</v>
      </c>
      <c r="Q377">
        <v>0.2</v>
      </c>
      <c r="R377">
        <v>12.1</v>
      </c>
      <c r="AC377" s="1">
        <v>42478</v>
      </c>
    </row>
    <row r="378" spans="1:29" x14ac:dyDescent="0.25">
      <c r="A378" t="s">
        <v>630</v>
      </c>
      <c r="D378" t="s">
        <v>1615</v>
      </c>
      <c r="E378" t="s">
        <v>2068</v>
      </c>
      <c r="F378" t="s">
        <v>2076</v>
      </c>
      <c r="G378" t="s">
        <v>2090</v>
      </c>
      <c r="H378" t="s">
        <v>2094</v>
      </c>
      <c r="I378" t="s">
        <v>2110</v>
      </c>
      <c r="J378">
        <v>4825</v>
      </c>
      <c r="K378">
        <v>34.54</v>
      </c>
      <c r="L378">
        <v>3.2</v>
      </c>
      <c r="M378">
        <v>31.82</v>
      </c>
      <c r="N378">
        <v>2</v>
      </c>
      <c r="O378">
        <v>20</v>
      </c>
      <c r="P378">
        <v>1272.8</v>
      </c>
      <c r="Q378">
        <v>9.69</v>
      </c>
      <c r="R378">
        <v>1263.1099999999999</v>
      </c>
      <c r="AC378" s="1">
        <v>43039</v>
      </c>
    </row>
    <row r="379" spans="1:29" x14ac:dyDescent="0.25">
      <c r="A379" t="s">
        <v>641</v>
      </c>
      <c r="D379" t="s">
        <v>1626</v>
      </c>
      <c r="E379" t="s">
        <v>1980</v>
      </c>
      <c r="F379" t="s">
        <v>2081</v>
      </c>
      <c r="G379" t="s">
        <v>2090</v>
      </c>
      <c r="H379" t="s">
        <v>2095</v>
      </c>
      <c r="I379" t="s">
        <v>2097</v>
      </c>
      <c r="J379">
        <v>1959</v>
      </c>
      <c r="K379">
        <v>19.57</v>
      </c>
      <c r="L379">
        <v>4.7</v>
      </c>
      <c r="M379">
        <v>38.229999999999997</v>
      </c>
      <c r="N379">
        <v>2</v>
      </c>
      <c r="O379">
        <v>4</v>
      </c>
      <c r="P379">
        <v>305.83999999999997</v>
      </c>
      <c r="Q379">
        <v>3.29</v>
      </c>
      <c r="R379">
        <v>302.55</v>
      </c>
      <c r="AC379" s="1">
        <v>40801</v>
      </c>
    </row>
    <row r="380" spans="1:29" x14ac:dyDescent="0.25">
      <c r="A380" t="s">
        <v>715</v>
      </c>
      <c r="D380" t="s">
        <v>1694</v>
      </c>
      <c r="E380" t="s">
        <v>2032</v>
      </c>
      <c r="F380" t="s">
        <v>2078</v>
      </c>
      <c r="G380" t="s">
        <v>2090</v>
      </c>
      <c r="H380" t="s">
        <v>2093</v>
      </c>
      <c r="I380" t="s">
        <v>2110</v>
      </c>
      <c r="J380">
        <v>610</v>
      </c>
      <c r="K380">
        <v>32.14</v>
      </c>
      <c r="L380">
        <v>3.7</v>
      </c>
      <c r="M380">
        <v>17</v>
      </c>
      <c r="N380">
        <v>4</v>
      </c>
      <c r="O380">
        <v>18</v>
      </c>
      <c r="P380">
        <v>1224</v>
      </c>
      <c r="Q380">
        <v>8.32</v>
      </c>
      <c r="R380">
        <v>1215.68</v>
      </c>
      <c r="AC380" s="1">
        <v>41824</v>
      </c>
    </row>
    <row r="381" spans="1:29" x14ac:dyDescent="0.25">
      <c r="A381" t="s">
        <v>790</v>
      </c>
      <c r="D381" t="s">
        <v>1765</v>
      </c>
      <c r="E381" t="s">
        <v>2032</v>
      </c>
      <c r="F381" t="s">
        <v>2078</v>
      </c>
      <c r="G381" t="s">
        <v>2090</v>
      </c>
      <c r="H381" t="s">
        <v>2092</v>
      </c>
      <c r="I381" t="s">
        <v>2103</v>
      </c>
      <c r="J381">
        <v>1346</v>
      </c>
      <c r="K381">
        <v>20.62</v>
      </c>
      <c r="L381">
        <v>4.0999999999999996</v>
      </c>
      <c r="M381">
        <v>13.08</v>
      </c>
      <c r="N381">
        <v>2</v>
      </c>
      <c r="O381">
        <v>11</v>
      </c>
      <c r="P381">
        <v>287.76</v>
      </c>
      <c r="Q381">
        <v>4</v>
      </c>
      <c r="R381">
        <v>283.76</v>
      </c>
      <c r="AC381" s="1">
        <v>42927</v>
      </c>
    </row>
    <row r="382" spans="1:29" x14ac:dyDescent="0.25">
      <c r="A382" t="s">
        <v>955</v>
      </c>
      <c r="D382" t="s">
        <v>1916</v>
      </c>
      <c r="E382" t="s">
        <v>1989</v>
      </c>
      <c r="F382" t="s">
        <v>2076</v>
      </c>
      <c r="G382" t="s">
        <v>2090</v>
      </c>
      <c r="H382" t="s">
        <v>2094</v>
      </c>
      <c r="I382" t="s">
        <v>2110</v>
      </c>
      <c r="J382">
        <v>854</v>
      </c>
      <c r="K382">
        <v>24.49</v>
      </c>
      <c r="L382">
        <v>4.5999999999999996</v>
      </c>
      <c r="M382">
        <v>14.1</v>
      </c>
      <c r="N382">
        <v>5</v>
      </c>
      <c r="O382">
        <v>8</v>
      </c>
      <c r="P382">
        <v>564</v>
      </c>
      <c r="Q382">
        <v>7</v>
      </c>
      <c r="R382">
        <v>557</v>
      </c>
      <c r="AC382" s="1">
        <v>43035</v>
      </c>
    </row>
    <row r="383" spans="1:29" x14ac:dyDescent="0.25">
      <c r="A383" t="s">
        <v>957</v>
      </c>
      <c r="D383" t="s">
        <v>1918</v>
      </c>
      <c r="E383" t="s">
        <v>2070</v>
      </c>
      <c r="F383" t="s">
        <v>2080</v>
      </c>
      <c r="G383" t="s">
        <v>2090</v>
      </c>
      <c r="H383" t="s">
        <v>2092</v>
      </c>
      <c r="I383" t="s">
        <v>2100</v>
      </c>
      <c r="J383">
        <v>1050</v>
      </c>
      <c r="K383">
        <v>31.78</v>
      </c>
      <c r="L383">
        <v>4.2</v>
      </c>
      <c r="M383">
        <v>22.55</v>
      </c>
      <c r="N383">
        <v>1</v>
      </c>
      <c r="O383">
        <v>17</v>
      </c>
      <c r="P383">
        <v>383.35</v>
      </c>
      <c r="Q383">
        <v>1.52</v>
      </c>
      <c r="R383">
        <v>381.83</v>
      </c>
      <c r="AC383" s="1">
        <v>42062</v>
      </c>
    </row>
    <row r="384" spans="1:29" x14ac:dyDescent="0.25">
      <c r="A384" t="s">
        <v>134</v>
      </c>
      <c r="D384" t="s">
        <v>1125</v>
      </c>
      <c r="E384" t="s">
        <v>2005</v>
      </c>
      <c r="F384" t="s">
        <v>2079</v>
      </c>
      <c r="G384" t="s">
        <v>2083</v>
      </c>
      <c r="H384" t="s">
        <v>2094</v>
      </c>
      <c r="I384" t="s">
        <v>2108</v>
      </c>
      <c r="J384">
        <v>2834</v>
      </c>
      <c r="K384">
        <v>30.8</v>
      </c>
      <c r="L384">
        <v>3.2</v>
      </c>
      <c r="M384">
        <v>19.059999999999999</v>
      </c>
      <c r="N384">
        <v>5</v>
      </c>
      <c r="O384">
        <v>1</v>
      </c>
      <c r="P384">
        <v>95.3</v>
      </c>
      <c r="Q384">
        <v>1.24</v>
      </c>
      <c r="R384">
        <v>94.06</v>
      </c>
      <c r="AC384" s="1">
        <v>40692</v>
      </c>
    </row>
    <row r="385" spans="1:29" x14ac:dyDescent="0.25">
      <c r="A385" t="s">
        <v>369</v>
      </c>
      <c r="D385" t="s">
        <v>1371</v>
      </c>
      <c r="E385" t="s">
        <v>2040</v>
      </c>
      <c r="F385" t="s">
        <v>2079</v>
      </c>
      <c r="G385" t="s">
        <v>2083</v>
      </c>
      <c r="H385" t="s">
        <v>2094</v>
      </c>
      <c r="I385" t="s">
        <v>2101</v>
      </c>
      <c r="J385">
        <v>4442</v>
      </c>
      <c r="K385">
        <v>29.71</v>
      </c>
      <c r="L385">
        <v>4.5</v>
      </c>
      <c r="M385">
        <v>9.15</v>
      </c>
      <c r="N385">
        <v>3</v>
      </c>
      <c r="O385">
        <v>19</v>
      </c>
      <c r="P385">
        <v>521.55000000000007</v>
      </c>
      <c r="Q385">
        <v>4</v>
      </c>
      <c r="R385">
        <v>517.54999999999995</v>
      </c>
      <c r="AC385" s="1">
        <v>41878</v>
      </c>
    </row>
    <row r="386" spans="1:29" x14ac:dyDescent="0.25">
      <c r="A386" t="s">
        <v>552</v>
      </c>
      <c r="D386" t="s">
        <v>1546</v>
      </c>
      <c r="E386" t="s">
        <v>1978</v>
      </c>
      <c r="F386" t="s">
        <v>2082</v>
      </c>
      <c r="G386" t="s">
        <v>2083</v>
      </c>
      <c r="H386" t="s">
        <v>2095</v>
      </c>
      <c r="I386" t="s">
        <v>2100</v>
      </c>
      <c r="J386">
        <v>3098</v>
      </c>
      <c r="K386">
        <v>30.27</v>
      </c>
      <c r="L386">
        <v>1.6</v>
      </c>
      <c r="M386">
        <v>23.03</v>
      </c>
      <c r="N386">
        <v>5</v>
      </c>
      <c r="O386">
        <v>3</v>
      </c>
      <c r="P386">
        <v>345.45000000000005</v>
      </c>
      <c r="Q386">
        <v>1.08</v>
      </c>
      <c r="R386">
        <v>344.37</v>
      </c>
      <c r="AC386" s="1">
        <v>42974</v>
      </c>
    </row>
    <row r="387" spans="1:29" x14ac:dyDescent="0.25">
      <c r="A387" t="s">
        <v>600</v>
      </c>
      <c r="D387" t="s">
        <v>1587</v>
      </c>
      <c r="E387" t="s">
        <v>2009</v>
      </c>
      <c r="F387" t="s">
        <v>2079</v>
      </c>
      <c r="G387" t="s">
        <v>2083</v>
      </c>
      <c r="H387" t="s">
        <v>2093</v>
      </c>
      <c r="I387" t="s">
        <v>2098</v>
      </c>
      <c r="J387">
        <v>4242</v>
      </c>
      <c r="K387">
        <v>44.55</v>
      </c>
      <c r="L387">
        <v>1.2</v>
      </c>
      <c r="M387">
        <v>31.56</v>
      </c>
      <c r="N387">
        <v>5</v>
      </c>
      <c r="O387">
        <v>3</v>
      </c>
      <c r="P387">
        <v>473.4</v>
      </c>
      <c r="Q387">
        <v>3.42</v>
      </c>
      <c r="R387">
        <v>469.98</v>
      </c>
      <c r="AC387" s="1">
        <v>40422</v>
      </c>
    </row>
    <row r="388" spans="1:29" x14ac:dyDescent="0.25">
      <c r="A388" t="s">
        <v>611</v>
      </c>
      <c r="D388" t="s">
        <v>1597</v>
      </c>
      <c r="E388" t="s">
        <v>2013</v>
      </c>
      <c r="F388" t="s">
        <v>2082</v>
      </c>
      <c r="G388" t="s">
        <v>2083</v>
      </c>
      <c r="H388" t="s">
        <v>2094</v>
      </c>
      <c r="I388" t="s">
        <v>2109</v>
      </c>
      <c r="J388">
        <v>2880</v>
      </c>
      <c r="K388">
        <v>45.13</v>
      </c>
      <c r="L388">
        <v>1.3</v>
      </c>
      <c r="M388">
        <v>35.56</v>
      </c>
      <c r="N388">
        <v>4</v>
      </c>
      <c r="O388">
        <v>16</v>
      </c>
      <c r="P388">
        <v>2275.84</v>
      </c>
      <c r="Q388">
        <v>6.42</v>
      </c>
      <c r="R388">
        <v>2269.42</v>
      </c>
      <c r="AC388" s="1">
        <v>40290</v>
      </c>
    </row>
    <row r="389" spans="1:29" x14ac:dyDescent="0.25">
      <c r="A389" t="s">
        <v>716</v>
      </c>
      <c r="D389" t="s">
        <v>1695</v>
      </c>
      <c r="E389" t="s">
        <v>2027</v>
      </c>
      <c r="F389" t="s">
        <v>2073</v>
      </c>
      <c r="G389" t="s">
        <v>2083</v>
      </c>
      <c r="H389" t="s">
        <v>2095</v>
      </c>
      <c r="I389" t="s">
        <v>2110</v>
      </c>
      <c r="J389">
        <v>489</v>
      </c>
      <c r="K389">
        <v>45.04</v>
      </c>
      <c r="L389">
        <v>4.3</v>
      </c>
      <c r="M389">
        <v>33.840000000000003</v>
      </c>
      <c r="N389">
        <v>1</v>
      </c>
      <c r="O389">
        <v>4</v>
      </c>
      <c r="P389">
        <v>135.36000000000001</v>
      </c>
      <c r="Q389">
        <v>9.7100000000000009</v>
      </c>
      <c r="R389">
        <v>125.65</v>
      </c>
      <c r="AC389" s="1">
        <v>42703</v>
      </c>
    </row>
    <row r="390" spans="1:29" x14ac:dyDescent="0.25">
      <c r="A390" t="s">
        <v>729</v>
      </c>
      <c r="D390" t="s">
        <v>1708</v>
      </c>
      <c r="E390" t="s">
        <v>1982</v>
      </c>
      <c r="F390" t="s">
        <v>2075</v>
      </c>
      <c r="G390" t="s">
        <v>2083</v>
      </c>
      <c r="H390" t="s">
        <v>2093</v>
      </c>
      <c r="I390" t="s">
        <v>2110</v>
      </c>
      <c r="J390">
        <v>85</v>
      </c>
      <c r="K390">
        <v>7.51</v>
      </c>
      <c r="L390">
        <v>3.7</v>
      </c>
      <c r="M390">
        <v>7.27</v>
      </c>
      <c r="N390">
        <v>1</v>
      </c>
      <c r="O390">
        <v>8</v>
      </c>
      <c r="P390">
        <v>58.16</v>
      </c>
      <c r="Q390">
        <v>3.22</v>
      </c>
      <c r="R390">
        <v>54.94</v>
      </c>
      <c r="AC390" s="1">
        <v>43176</v>
      </c>
    </row>
    <row r="391" spans="1:29" x14ac:dyDescent="0.25">
      <c r="A391" t="s">
        <v>741</v>
      </c>
      <c r="D391" t="s">
        <v>1719</v>
      </c>
      <c r="E391" t="s">
        <v>2003</v>
      </c>
      <c r="F391" t="s">
        <v>2074</v>
      </c>
      <c r="G391" t="s">
        <v>2083</v>
      </c>
      <c r="H391" t="s">
        <v>2093</v>
      </c>
      <c r="I391" t="s">
        <v>2103</v>
      </c>
      <c r="J391">
        <v>3851</v>
      </c>
      <c r="K391">
        <v>41.99</v>
      </c>
      <c r="L391">
        <v>1.5</v>
      </c>
      <c r="M391">
        <v>39.5</v>
      </c>
      <c r="N391">
        <v>4</v>
      </c>
      <c r="O391">
        <v>18</v>
      </c>
      <c r="P391">
        <v>2844</v>
      </c>
      <c r="Q391">
        <v>2.87</v>
      </c>
      <c r="R391">
        <v>2841.13</v>
      </c>
      <c r="AC391" s="1">
        <v>43260</v>
      </c>
    </row>
    <row r="392" spans="1:29" x14ac:dyDescent="0.25">
      <c r="A392" t="s">
        <v>762</v>
      </c>
      <c r="D392" t="s">
        <v>1738</v>
      </c>
      <c r="E392" t="s">
        <v>2039</v>
      </c>
      <c r="F392" t="s">
        <v>2077</v>
      </c>
      <c r="G392" t="s">
        <v>2083</v>
      </c>
      <c r="H392" t="s">
        <v>2096</v>
      </c>
      <c r="I392" t="s">
        <v>2101</v>
      </c>
      <c r="J392">
        <v>1819</v>
      </c>
      <c r="K392">
        <v>29.79</v>
      </c>
      <c r="L392">
        <v>1.7</v>
      </c>
      <c r="M392">
        <v>31.71</v>
      </c>
      <c r="N392">
        <v>1</v>
      </c>
      <c r="O392">
        <v>15</v>
      </c>
      <c r="P392">
        <v>475.65000000000003</v>
      </c>
      <c r="Q392">
        <v>5.33</v>
      </c>
      <c r="R392">
        <v>470.32</v>
      </c>
      <c r="AC392" s="1">
        <v>41686</v>
      </c>
    </row>
    <row r="393" spans="1:29" x14ac:dyDescent="0.25">
      <c r="A393" t="s">
        <v>809</v>
      </c>
      <c r="D393" t="s">
        <v>1780</v>
      </c>
      <c r="E393" t="s">
        <v>1992</v>
      </c>
      <c r="F393" t="s">
        <v>2078</v>
      </c>
      <c r="G393" t="s">
        <v>2083</v>
      </c>
      <c r="H393" t="s">
        <v>2093</v>
      </c>
      <c r="I393" t="s">
        <v>2097</v>
      </c>
      <c r="J393">
        <v>1789</v>
      </c>
      <c r="K393">
        <v>17.45</v>
      </c>
      <c r="L393">
        <v>2.2999999999999998</v>
      </c>
      <c r="M393">
        <v>7.5</v>
      </c>
      <c r="N393">
        <v>4</v>
      </c>
      <c r="O393">
        <v>5</v>
      </c>
      <c r="P393">
        <v>150</v>
      </c>
      <c r="Q393">
        <v>0.14000000000000001</v>
      </c>
      <c r="R393">
        <v>149.86000000000001</v>
      </c>
      <c r="AC393" s="1">
        <v>41236</v>
      </c>
    </row>
    <row r="394" spans="1:29" x14ac:dyDescent="0.25">
      <c r="A394" t="s">
        <v>842</v>
      </c>
      <c r="D394" t="s">
        <v>1811</v>
      </c>
      <c r="E394" t="s">
        <v>2033</v>
      </c>
      <c r="F394" t="s">
        <v>2073</v>
      </c>
      <c r="G394" t="s">
        <v>2083</v>
      </c>
      <c r="H394" t="s">
        <v>2093</v>
      </c>
      <c r="I394" t="s">
        <v>2103</v>
      </c>
      <c r="J394">
        <v>395</v>
      </c>
      <c r="K394">
        <v>43.29</v>
      </c>
      <c r="L394">
        <v>4.8</v>
      </c>
      <c r="M394">
        <v>33.869999999999997</v>
      </c>
      <c r="N394">
        <v>5</v>
      </c>
      <c r="O394">
        <v>2</v>
      </c>
      <c r="P394">
        <v>338.7</v>
      </c>
      <c r="Q394">
        <v>6.79</v>
      </c>
      <c r="R394">
        <v>331.91</v>
      </c>
      <c r="AC394" s="1">
        <v>40984</v>
      </c>
    </row>
    <row r="395" spans="1:29" x14ac:dyDescent="0.25">
      <c r="A395" t="s">
        <v>866</v>
      </c>
      <c r="D395" t="s">
        <v>1675</v>
      </c>
      <c r="E395" t="s">
        <v>1998</v>
      </c>
      <c r="F395" t="s">
        <v>2075</v>
      </c>
      <c r="G395" t="s">
        <v>2083</v>
      </c>
      <c r="H395" t="s">
        <v>2093</v>
      </c>
      <c r="I395" t="s">
        <v>2098</v>
      </c>
      <c r="J395">
        <v>458</v>
      </c>
      <c r="K395">
        <v>27.85</v>
      </c>
      <c r="L395">
        <v>1.6</v>
      </c>
      <c r="M395">
        <v>20</v>
      </c>
      <c r="N395">
        <v>1</v>
      </c>
      <c r="O395">
        <v>9</v>
      </c>
      <c r="P395">
        <v>180</v>
      </c>
      <c r="Q395">
        <v>4.7699999999999996</v>
      </c>
      <c r="R395">
        <v>175.23</v>
      </c>
      <c r="AC395" s="1">
        <v>41150</v>
      </c>
    </row>
    <row r="396" spans="1:29" x14ac:dyDescent="0.25">
      <c r="A396" t="s">
        <v>869</v>
      </c>
      <c r="D396" t="s">
        <v>1142</v>
      </c>
      <c r="E396" t="s">
        <v>2032</v>
      </c>
      <c r="F396" t="s">
        <v>2078</v>
      </c>
      <c r="G396" t="s">
        <v>2083</v>
      </c>
      <c r="H396" t="s">
        <v>2093</v>
      </c>
      <c r="I396" t="s">
        <v>2097</v>
      </c>
      <c r="J396">
        <v>583</v>
      </c>
      <c r="K396">
        <v>26.55</v>
      </c>
      <c r="L396">
        <v>3.4</v>
      </c>
      <c r="M396">
        <v>32.630000000000003</v>
      </c>
      <c r="N396">
        <v>3</v>
      </c>
      <c r="O396">
        <v>10</v>
      </c>
      <c r="P396">
        <v>978.90000000000009</v>
      </c>
      <c r="Q396">
        <v>0.9</v>
      </c>
      <c r="R396">
        <v>978</v>
      </c>
      <c r="AC396" s="1">
        <v>40375</v>
      </c>
    </row>
    <row r="397" spans="1:29" x14ac:dyDescent="0.25">
      <c r="A397" t="s">
        <v>986</v>
      </c>
      <c r="D397" t="s">
        <v>1945</v>
      </c>
      <c r="E397" t="s">
        <v>1974</v>
      </c>
      <c r="F397" t="s">
        <v>2073</v>
      </c>
      <c r="G397" t="s">
        <v>2083</v>
      </c>
      <c r="H397" t="s">
        <v>2092</v>
      </c>
      <c r="I397" t="s">
        <v>2107</v>
      </c>
      <c r="J397">
        <v>1073</v>
      </c>
      <c r="K397">
        <v>17.18</v>
      </c>
      <c r="L397">
        <v>2.7</v>
      </c>
      <c r="M397">
        <v>7.94</v>
      </c>
      <c r="N397">
        <v>2</v>
      </c>
      <c r="O397">
        <v>1</v>
      </c>
      <c r="P397">
        <v>15.88</v>
      </c>
      <c r="Q397">
        <v>4.55</v>
      </c>
      <c r="R397">
        <v>11.33</v>
      </c>
      <c r="AC397" s="1">
        <v>42435</v>
      </c>
    </row>
    <row r="398" spans="1:29" x14ac:dyDescent="0.25">
      <c r="A398" t="s">
        <v>23</v>
      </c>
      <c r="D398" t="s">
        <v>1033</v>
      </c>
      <c r="E398" t="s">
        <v>1979</v>
      </c>
      <c r="F398" t="s">
        <v>2074</v>
      </c>
      <c r="G398" t="s">
        <v>2087</v>
      </c>
      <c r="H398" t="s">
        <v>2096</v>
      </c>
      <c r="I398" t="s">
        <v>2103</v>
      </c>
      <c r="J398">
        <v>3277</v>
      </c>
      <c r="K398">
        <v>32.35</v>
      </c>
      <c r="L398">
        <v>1.8</v>
      </c>
      <c r="M398">
        <v>16.96</v>
      </c>
      <c r="N398">
        <v>5</v>
      </c>
      <c r="O398">
        <v>5</v>
      </c>
      <c r="P398">
        <v>424.00000000000006</v>
      </c>
      <c r="Q398">
        <v>7.12</v>
      </c>
      <c r="R398">
        <v>416.88</v>
      </c>
      <c r="AC398" s="1">
        <v>40270</v>
      </c>
    </row>
    <row r="399" spans="1:29" x14ac:dyDescent="0.25">
      <c r="A399" t="s">
        <v>41</v>
      </c>
      <c r="D399" t="s">
        <v>1051</v>
      </c>
      <c r="E399" t="s">
        <v>1994</v>
      </c>
      <c r="F399" t="s">
        <v>2077</v>
      </c>
      <c r="G399" t="s">
        <v>2087</v>
      </c>
      <c r="H399" t="s">
        <v>2096</v>
      </c>
      <c r="I399" t="s">
        <v>2102</v>
      </c>
      <c r="J399">
        <v>2271</v>
      </c>
      <c r="K399">
        <v>20.420000000000002</v>
      </c>
      <c r="L399">
        <v>4.8</v>
      </c>
      <c r="M399">
        <v>5.21</v>
      </c>
      <c r="N399">
        <v>2</v>
      </c>
      <c r="O399">
        <v>17</v>
      </c>
      <c r="P399">
        <v>177.14</v>
      </c>
      <c r="Q399">
        <v>3.23</v>
      </c>
      <c r="R399">
        <v>173.91</v>
      </c>
      <c r="AC399" s="1">
        <v>40745</v>
      </c>
    </row>
    <row r="400" spans="1:29" x14ac:dyDescent="0.25">
      <c r="A400" t="s">
        <v>112</v>
      </c>
      <c r="D400" t="s">
        <v>1122</v>
      </c>
      <c r="E400" t="s">
        <v>2017</v>
      </c>
      <c r="F400" t="s">
        <v>2073</v>
      </c>
      <c r="G400" t="s">
        <v>2087</v>
      </c>
      <c r="H400" t="s">
        <v>2092</v>
      </c>
      <c r="I400" t="s">
        <v>2104</v>
      </c>
      <c r="J400">
        <v>4172</v>
      </c>
      <c r="K400">
        <v>49.79</v>
      </c>
      <c r="L400">
        <v>3.7</v>
      </c>
      <c r="M400">
        <v>11.56</v>
      </c>
      <c r="N400">
        <v>2</v>
      </c>
      <c r="O400">
        <v>15</v>
      </c>
      <c r="P400">
        <v>346.8</v>
      </c>
      <c r="Q400">
        <v>2.14</v>
      </c>
      <c r="R400">
        <v>344.66</v>
      </c>
      <c r="AC400" s="1">
        <v>43378</v>
      </c>
    </row>
    <row r="401" spans="1:29" x14ac:dyDescent="0.25">
      <c r="A401" t="s">
        <v>185</v>
      </c>
      <c r="D401" t="s">
        <v>1194</v>
      </c>
      <c r="E401" t="s">
        <v>1978</v>
      </c>
      <c r="F401" t="s">
        <v>2081</v>
      </c>
      <c r="G401" t="s">
        <v>2087</v>
      </c>
      <c r="H401" t="s">
        <v>2095</v>
      </c>
      <c r="I401" t="s">
        <v>2109</v>
      </c>
      <c r="J401">
        <v>559</v>
      </c>
      <c r="K401">
        <v>17.829999999999998</v>
      </c>
      <c r="L401">
        <v>4.5</v>
      </c>
      <c r="M401">
        <v>22.04</v>
      </c>
      <c r="N401">
        <v>5</v>
      </c>
      <c r="O401">
        <v>17</v>
      </c>
      <c r="P401">
        <v>1873.3999999999999</v>
      </c>
      <c r="Q401">
        <v>2.5499999999999998</v>
      </c>
      <c r="R401">
        <v>1870.85</v>
      </c>
      <c r="AC401" s="1">
        <v>41132</v>
      </c>
    </row>
    <row r="402" spans="1:29" x14ac:dyDescent="0.25">
      <c r="A402" t="s">
        <v>258</v>
      </c>
      <c r="D402" t="s">
        <v>1265</v>
      </c>
      <c r="E402" t="s">
        <v>2014</v>
      </c>
      <c r="F402" t="s">
        <v>2075</v>
      </c>
      <c r="G402" t="s">
        <v>2087</v>
      </c>
      <c r="H402" t="s">
        <v>2096</v>
      </c>
      <c r="I402" t="s">
        <v>2110</v>
      </c>
      <c r="J402">
        <v>450</v>
      </c>
      <c r="K402">
        <v>6.01</v>
      </c>
      <c r="L402">
        <v>1.2</v>
      </c>
      <c r="M402">
        <v>35.369999999999997</v>
      </c>
      <c r="N402">
        <v>5</v>
      </c>
      <c r="O402">
        <v>5</v>
      </c>
      <c r="P402">
        <v>884.25</v>
      </c>
      <c r="Q402">
        <v>8.24</v>
      </c>
      <c r="R402">
        <v>876.01</v>
      </c>
      <c r="AC402" s="1">
        <v>43266</v>
      </c>
    </row>
    <row r="403" spans="1:29" x14ac:dyDescent="0.25">
      <c r="A403" t="s">
        <v>300</v>
      </c>
      <c r="D403" t="s">
        <v>1305</v>
      </c>
      <c r="E403" t="s">
        <v>2022</v>
      </c>
      <c r="F403" t="s">
        <v>2078</v>
      </c>
      <c r="G403" t="s">
        <v>2087</v>
      </c>
      <c r="H403" t="s">
        <v>2094</v>
      </c>
      <c r="I403" t="s">
        <v>2107</v>
      </c>
      <c r="J403">
        <v>2020</v>
      </c>
      <c r="K403">
        <v>41.69</v>
      </c>
      <c r="L403">
        <v>1.7</v>
      </c>
      <c r="M403">
        <v>32.56</v>
      </c>
      <c r="N403">
        <v>4</v>
      </c>
      <c r="O403">
        <v>2</v>
      </c>
      <c r="P403">
        <v>260.48</v>
      </c>
      <c r="Q403">
        <v>5.9</v>
      </c>
      <c r="R403">
        <v>254.58</v>
      </c>
      <c r="AC403" s="1">
        <v>41185</v>
      </c>
    </row>
    <row r="404" spans="1:29" x14ac:dyDescent="0.25">
      <c r="A404" t="s">
        <v>321</v>
      </c>
      <c r="D404" t="s">
        <v>1324</v>
      </c>
      <c r="E404" t="s">
        <v>1977</v>
      </c>
      <c r="F404" t="s">
        <v>2079</v>
      </c>
      <c r="G404" t="s">
        <v>2087</v>
      </c>
      <c r="H404" t="s">
        <v>2092</v>
      </c>
      <c r="I404" t="s">
        <v>2104</v>
      </c>
      <c r="J404">
        <v>4436</v>
      </c>
      <c r="K404">
        <v>37.18</v>
      </c>
      <c r="L404">
        <v>2.6</v>
      </c>
      <c r="M404">
        <v>28.89</v>
      </c>
      <c r="N404">
        <v>4</v>
      </c>
      <c r="O404">
        <v>10</v>
      </c>
      <c r="P404">
        <v>1155.5999999999999</v>
      </c>
      <c r="Q404">
        <v>9.66</v>
      </c>
      <c r="R404">
        <v>1145.94</v>
      </c>
      <c r="AC404" s="1">
        <v>41198</v>
      </c>
    </row>
    <row r="405" spans="1:29" x14ac:dyDescent="0.25">
      <c r="A405" t="s">
        <v>360</v>
      </c>
      <c r="D405" t="s">
        <v>1362</v>
      </c>
      <c r="E405" t="s">
        <v>2060</v>
      </c>
      <c r="F405" t="s">
        <v>2082</v>
      </c>
      <c r="G405" t="s">
        <v>2087</v>
      </c>
      <c r="H405" t="s">
        <v>2094</v>
      </c>
      <c r="I405" t="s">
        <v>2105</v>
      </c>
      <c r="J405">
        <v>1920</v>
      </c>
      <c r="K405">
        <v>20.79</v>
      </c>
      <c r="L405">
        <v>4.9000000000000004</v>
      </c>
      <c r="M405">
        <v>20.71</v>
      </c>
      <c r="N405">
        <v>5</v>
      </c>
      <c r="O405">
        <v>13</v>
      </c>
      <c r="P405">
        <v>1346.15</v>
      </c>
      <c r="Q405">
        <v>3.21</v>
      </c>
      <c r="R405">
        <v>1342.94</v>
      </c>
      <c r="AC405" s="1">
        <v>43377</v>
      </c>
    </row>
    <row r="406" spans="1:29" x14ac:dyDescent="0.25">
      <c r="A406" t="s">
        <v>393</v>
      </c>
      <c r="D406" t="s">
        <v>1394</v>
      </c>
      <c r="E406" t="s">
        <v>1984</v>
      </c>
      <c r="F406" t="s">
        <v>2082</v>
      </c>
      <c r="G406" t="s">
        <v>2087</v>
      </c>
      <c r="H406" t="s">
        <v>2093</v>
      </c>
      <c r="I406" t="s">
        <v>2107</v>
      </c>
      <c r="J406">
        <v>2393</v>
      </c>
      <c r="K406">
        <v>16.43</v>
      </c>
      <c r="L406">
        <v>1.5</v>
      </c>
      <c r="M406">
        <v>29.36</v>
      </c>
      <c r="N406">
        <v>1</v>
      </c>
      <c r="O406">
        <v>18</v>
      </c>
      <c r="P406">
        <v>528.48</v>
      </c>
      <c r="Q406">
        <v>0.65</v>
      </c>
      <c r="R406">
        <v>527.83000000000004</v>
      </c>
      <c r="AC406" s="1">
        <v>42891</v>
      </c>
    </row>
    <row r="407" spans="1:29" x14ac:dyDescent="0.25">
      <c r="A407" t="s">
        <v>452</v>
      </c>
      <c r="D407" t="s">
        <v>1450</v>
      </c>
      <c r="E407" t="s">
        <v>1989</v>
      </c>
      <c r="F407" t="s">
        <v>2080</v>
      </c>
      <c r="G407" t="s">
        <v>2087</v>
      </c>
      <c r="H407" t="s">
        <v>2093</v>
      </c>
      <c r="I407" t="s">
        <v>2097</v>
      </c>
      <c r="J407">
        <v>3359</v>
      </c>
      <c r="K407">
        <v>39.26</v>
      </c>
      <c r="L407">
        <v>3.2</v>
      </c>
      <c r="M407">
        <v>26.44</v>
      </c>
      <c r="N407">
        <v>2</v>
      </c>
      <c r="O407">
        <v>18</v>
      </c>
      <c r="P407">
        <v>951.84</v>
      </c>
      <c r="Q407">
        <v>0.2</v>
      </c>
      <c r="R407">
        <v>951.64</v>
      </c>
      <c r="AC407" s="1">
        <v>41194</v>
      </c>
    </row>
    <row r="408" spans="1:29" x14ac:dyDescent="0.25">
      <c r="A408" t="s">
        <v>497</v>
      </c>
      <c r="D408" t="s">
        <v>1493</v>
      </c>
      <c r="E408" t="s">
        <v>2034</v>
      </c>
      <c r="F408" t="s">
        <v>2078</v>
      </c>
      <c r="G408" t="s">
        <v>2087</v>
      </c>
      <c r="H408" t="s">
        <v>2093</v>
      </c>
      <c r="I408" t="s">
        <v>2111</v>
      </c>
      <c r="J408">
        <v>3482</v>
      </c>
      <c r="K408">
        <v>15.53</v>
      </c>
      <c r="L408">
        <v>1.1000000000000001</v>
      </c>
      <c r="M408">
        <v>24.05</v>
      </c>
      <c r="N408">
        <v>5</v>
      </c>
      <c r="O408">
        <v>15</v>
      </c>
      <c r="P408">
        <v>1803.75</v>
      </c>
      <c r="Q408">
        <v>8.98</v>
      </c>
      <c r="R408">
        <v>1794.77</v>
      </c>
      <c r="AC408" s="1">
        <v>42908</v>
      </c>
    </row>
    <row r="409" spans="1:29" x14ac:dyDescent="0.25">
      <c r="A409" t="s">
        <v>518</v>
      </c>
      <c r="D409" t="s">
        <v>1513</v>
      </c>
      <c r="E409" t="s">
        <v>1994</v>
      </c>
      <c r="F409" t="s">
        <v>2074</v>
      </c>
      <c r="G409" t="s">
        <v>2087</v>
      </c>
      <c r="H409" t="s">
        <v>2092</v>
      </c>
      <c r="I409" t="s">
        <v>2099</v>
      </c>
      <c r="J409">
        <v>1674</v>
      </c>
      <c r="K409">
        <v>8.14</v>
      </c>
      <c r="L409">
        <v>4.0999999999999996</v>
      </c>
      <c r="M409">
        <v>21.51</v>
      </c>
      <c r="N409">
        <v>3</v>
      </c>
      <c r="O409">
        <v>6</v>
      </c>
      <c r="P409">
        <v>387.18</v>
      </c>
      <c r="Q409">
        <v>8.36</v>
      </c>
      <c r="R409">
        <v>378.82</v>
      </c>
      <c r="AC409" s="1">
        <v>41020</v>
      </c>
    </row>
    <row r="410" spans="1:29" x14ac:dyDescent="0.25">
      <c r="A410" t="s">
        <v>526</v>
      </c>
      <c r="D410" t="s">
        <v>1521</v>
      </c>
      <c r="E410" t="s">
        <v>2051</v>
      </c>
      <c r="F410" t="s">
        <v>2079</v>
      </c>
      <c r="G410" t="s">
        <v>2087</v>
      </c>
      <c r="H410" t="s">
        <v>2095</v>
      </c>
      <c r="I410" t="s">
        <v>2100</v>
      </c>
      <c r="J410">
        <v>1594</v>
      </c>
      <c r="K410">
        <v>48.24</v>
      </c>
      <c r="L410">
        <v>3.4</v>
      </c>
      <c r="M410">
        <v>14.1</v>
      </c>
      <c r="N410">
        <v>3</v>
      </c>
      <c r="O410">
        <v>3</v>
      </c>
      <c r="P410">
        <v>126.89999999999999</v>
      </c>
      <c r="Q410">
        <v>9.42</v>
      </c>
      <c r="R410">
        <v>117.48</v>
      </c>
      <c r="AC410" s="1">
        <v>40325</v>
      </c>
    </row>
    <row r="411" spans="1:29" x14ac:dyDescent="0.25">
      <c r="A411" t="s">
        <v>752</v>
      </c>
      <c r="D411" t="s">
        <v>1728</v>
      </c>
      <c r="E411" t="s">
        <v>1985</v>
      </c>
      <c r="F411" t="s">
        <v>2076</v>
      </c>
      <c r="G411" t="s">
        <v>2087</v>
      </c>
      <c r="H411" t="s">
        <v>2093</v>
      </c>
      <c r="I411" t="s">
        <v>2098</v>
      </c>
      <c r="J411">
        <v>1893</v>
      </c>
      <c r="K411">
        <v>48.36</v>
      </c>
      <c r="L411">
        <v>1.5</v>
      </c>
      <c r="M411">
        <v>8.19</v>
      </c>
      <c r="N411">
        <v>3</v>
      </c>
      <c r="O411">
        <v>4</v>
      </c>
      <c r="P411">
        <v>98.28</v>
      </c>
      <c r="Q411">
        <v>3.79</v>
      </c>
      <c r="R411">
        <v>94.49</v>
      </c>
      <c r="AC411" s="1">
        <v>43196</v>
      </c>
    </row>
    <row r="412" spans="1:29" x14ac:dyDescent="0.25">
      <c r="A412" t="s">
        <v>755</v>
      </c>
      <c r="D412" t="s">
        <v>1731</v>
      </c>
      <c r="E412" t="s">
        <v>1998</v>
      </c>
      <c r="F412" t="s">
        <v>2082</v>
      </c>
      <c r="G412" t="s">
        <v>2087</v>
      </c>
      <c r="H412" t="s">
        <v>2093</v>
      </c>
      <c r="I412" t="s">
        <v>2109</v>
      </c>
      <c r="J412">
        <v>2841</v>
      </c>
      <c r="K412">
        <v>43.91</v>
      </c>
      <c r="L412">
        <v>3.7</v>
      </c>
      <c r="M412">
        <v>20.190000000000001</v>
      </c>
      <c r="N412">
        <v>2</v>
      </c>
      <c r="O412">
        <v>5</v>
      </c>
      <c r="P412">
        <v>201.9</v>
      </c>
      <c r="Q412">
        <v>2.65</v>
      </c>
      <c r="R412">
        <v>199.25</v>
      </c>
      <c r="AC412" s="1">
        <v>41618</v>
      </c>
    </row>
    <row r="413" spans="1:29" x14ac:dyDescent="0.25">
      <c r="A413" t="s">
        <v>889</v>
      </c>
      <c r="D413" t="s">
        <v>1855</v>
      </c>
      <c r="E413" t="s">
        <v>2022</v>
      </c>
      <c r="F413" t="s">
        <v>2081</v>
      </c>
      <c r="G413" t="s">
        <v>2087</v>
      </c>
      <c r="H413" t="s">
        <v>2096</v>
      </c>
      <c r="I413" t="s">
        <v>2097</v>
      </c>
      <c r="J413">
        <v>4563</v>
      </c>
      <c r="K413">
        <v>6.22</v>
      </c>
      <c r="L413">
        <v>1.9</v>
      </c>
      <c r="M413">
        <v>21.92</v>
      </c>
      <c r="N413">
        <v>1</v>
      </c>
      <c r="O413">
        <v>7</v>
      </c>
      <c r="P413">
        <v>153.44</v>
      </c>
      <c r="Q413">
        <v>2.5</v>
      </c>
      <c r="R413">
        <v>150.94</v>
      </c>
      <c r="AC413" s="1">
        <v>42119</v>
      </c>
    </row>
    <row r="414" spans="1:29" x14ac:dyDescent="0.25">
      <c r="A414" t="s">
        <v>928</v>
      </c>
      <c r="D414" t="s">
        <v>1893</v>
      </c>
      <c r="E414" t="s">
        <v>1989</v>
      </c>
      <c r="F414" t="s">
        <v>2076</v>
      </c>
      <c r="G414" t="s">
        <v>2087</v>
      </c>
      <c r="H414" t="s">
        <v>2095</v>
      </c>
      <c r="I414" t="s">
        <v>2102</v>
      </c>
      <c r="J414">
        <v>2233</v>
      </c>
      <c r="K414">
        <v>43.28</v>
      </c>
      <c r="L414">
        <v>2.2000000000000002</v>
      </c>
      <c r="M414">
        <v>14.59</v>
      </c>
      <c r="N414">
        <v>5</v>
      </c>
      <c r="O414">
        <v>1</v>
      </c>
      <c r="P414">
        <v>72.95</v>
      </c>
      <c r="Q414">
        <v>6.03</v>
      </c>
      <c r="R414">
        <v>66.92</v>
      </c>
      <c r="AC414" s="1">
        <v>40354</v>
      </c>
    </row>
    <row r="415" spans="1:29" x14ac:dyDescent="0.25">
      <c r="A415" t="s">
        <v>1004</v>
      </c>
      <c r="D415" t="s">
        <v>1962</v>
      </c>
      <c r="E415" t="s">
        <v>1984</v>
      </c>
      <c r="F415" t="s">
        <v>2079</v>
      </c>
      <c r="G415" t="s">
        <v>2087</v>
      </c>
      <c r="H415" t="s">
        <v>2095</v>
      </c>
      <c r="I415" t="s">
        <v>2098</v>
      </c>
      <c r="J415">
        <v>3936</v>
      </c>
      <c r="K415">
        <v>44.46</v>
      </c>
      <c r="L415">
        <v>4.3</v>
      </c>
      <c r="M415">
        <v>38.130000000000003</v>
      </c>
      <c r="N415">
        <v>5</v>
      </c>
      <c r="O415">
        <v>12</v>
      </c>
      <c r="P415">
        <v>2287.8000000000002</v>
      </c>
      <c r="Q415">
        <v>7.28</v>
      </c>
      <c r="R415">
        <v>2280.52</v>
      </c>
      <c r="AC415" s="1">
        <v>40828</v>
      </c>
    </row>
    <row r="416" spans="1:29" x14ac:dyDescent="0.25">
      <c r="A416" t="s">
        <v>118</v>
      </c>
      <c r="D416" t="s">
        <v>1128</v>
      </c>
      <c r="E416" t="s">
        <v>2031</v>
      </c>
      <c r="F416" t="s">
        <v>2079</v>
      </c>
      <c r="G416" t="s">
        <v>2088</v>
      </c>
      <c r="H416" t="s">
        <v>2093</v>
      </c>
      <c r="I416" t="s">
        <v>2108</v>
      </c>
      <c r="J416">
        <v>1375</v>
      </c>
      <c r="K416">
        <v>21.83</v>
      </c>
      <c r="L416">
        <v>2.2999999999999998</v>
      </c>
      <c r="M416">
        <v>33.9</v>
      </c>
      <c r="N416">
        <v>5</v>
      </c>
      <c r="O416">
        <v>3</v>
      </c>
      <c r="P416">
        <v>508.5</v>
      </c>
      <c r="Q416">
        <v>0.19</v>
      </c>
      <c r="R416">
        <v>508.31</v>
      </c>
      <c r="AC416" s="1">
        <v>42757</v>
      </c>
    </row>
    <row r="417" spans="1:29" x14ac:dyDescent="0.25">
      <c r="A417" t="s">
        <v>266</v>
      </c>
      <c r="D417" t="s">
        <v>1272</v>
      </c>
      <c r="E417" t="s">
        <v>2014</v>
      </c>
      <c r="F417" t="s">
        <v>2081</v>
      </c>
      <c r="G417" t="s">
        <v>2088</v>
      </c>
      <c r="H417" t="s">
        <v>2093</v>
      </c>
      <c r="I417" t="s">
        <v>2100</v>
      </c>
      <c r="J417">
        <v>1485</v>
      </c>
      <c r="K417">
        <v>12.66</v>
      </c>
      <c r="L417">
        <v>3.8</v>
      </c>
      <c r="M417">
        <v>13.07</v>
      </c>
      <c r="N417">
        <v>4</v>
      </c>
      <c r="O417">
        <v>19</v>
      </c>
      <c r="P417">
        <v>993.32</v>
      </c>
      <c r="Q417">
        <v>9.08</v>
      </c>
      <c r="R417">
        <v>984.24</v>
      </c>
      <c r="AC417" s="1">
        <v>41788</v>
      </c>
    </row>
    <row r="418" spans="1:29" x14ac:dyDescent="0.25">
      <c r="A418" t="s">
        <v>480</v>
      </c>
      <c r="D418" t="s">
        <v>1478</v>
      </c>
      <c r="E418" t="s">
        <v>2070</v>
      </c>
      <c r="F418" t="s">
        <v>2074</v>
      </c>
      <c r="G418" t="s">
        <v>2088</v>
      </c>
      <c r="H418" t="s">
        <v>2093</v>
      </c>
      <c r="I418" t="s">
        <v>2101</v>
      </c>
      <c r="J418">
        <v>4686</v>
      </c>
      <c r="K418">
        <v>20.49</v>
      </c>
      <c r="L418">
        <v>4.9000000000000004</v>
      </c>
      <c r="M418">
        <v>8</v>
      </c>
      <c r="N418">
        <v>2</v>
      </c>
      <c r="O418">
        <v>8</v>
      </c>
      <c r="P418">
        <v>128</v>
      </c>
      <c r="Q418">
        <v>5.09</v>
      </c>
      <c r="R418">
        <v>122.91</v>
      </c>
      <c r="AC418" s="1">
        <v>41093</v>
      </c>
    </row>
    <row r="419" spans="1:29" x14ac:dyDescent="0.25">
      <c r="A419" t="s">
        <v>544</v>
      </c>
      <c r="D419" t="s">
        <v>1538</v>
      </c>
      <c r="E419" t="s">
        <v>2021</v>
      </c>
      <c r="F419" t="s">
        <v>2074</v>
      </c>
      <c r="G419" t="s">
        <v>2088</v>
      </c>
      <c r="H419" t="s">
        <v>2092</v>
      </c>
      <c r="I419" t="s">
        <v>2097</v>
      </c>
      <c r="J419">
        <v>1517</v>
      </c>
      <c r="K419">
        <v>15.75</v>
      </c>
      <c r="L419">
        <v>4.9000000000000004</v>
      </c>
      <c r="M419">
        <v>6.54</v>
      </c>
      <c r="N419">
        <v>5</v>
      </c>
      <c r="O419">
        <v>3</v>
      </c>
      <c r="P419">
        <v>98.100000000000009</v>
      </c>
      <c r="Q419">
        <v>5.68</v>
      </c>
      <c r="R419">
        <v>92.42</v>
      </c>
      <c r="AC419" s="1">
        <v>40410</v>
      </c>
    </row>
    <row r="420" spans="1:29" x14ac:dyDescent="0.25">
      <c r="A420" t="s">
        <v>781</v>
      </c>
      <c r="D420" t="s">
        <v>1757</v>
      </c>
      <c r="E420" t="s">
        <v>1976</v>
      </c>
      <c r="F420" t="s">
        <v>2080</v>
      </c>
      <c r="G420" t="s">
        <v>2088</v>
      </c>
      <c r="H420" t="s">
        <v>2093</v>
      </c>
      <c r="I420" t="s">
        <v>2100</v>
      </c>
      <c r="J420">
        <v>897</v>
      </c>
      <c r="K420">
        <v>44.78</v>
      </c>
      <c r="L420">
        <v>2.1</v>
      </c>
      <c r="M420">
        <v>5.0199999999999996</v>
      </c>
      <c r="N420">
        <v>3</v>
      </c>
      <c r="O420">
        <v>20</v>
      </c>
      <c r="P420">
        <v>301.2</v>
      </c>
      <c r="Q420">
        <v>1.92</v>
      </c>
      <c r="R420">
        <v>299.27999999999997</v>
      </c>
      <c r="AC420" s="1">
        <v>40524</v>
      </c>
    </row>
    <row r="421" spans="1:29" x14ac:dyDescent="0.25">
      <c r="A421" t="s">
        <v>983</v>
      </c>
      <c r="D421" t="s">
        <v>1942</v>
      </c>
      <c r="E421" t="s">
        <v>2033</v>
      </c>
      <c r="F421" t="s">
        <v>2077</v>
      </c>
      <c r="G421" t="s">
        <v>2088</v>
      </c>
      <c r="H421" t="s">
        <v>2093</v>
      </c>
      <c r="I421" t="s">
        <v>2103</v>
      </c>
      <c r="J421">
        <v>1749</v>
      </c>
      <c r="K421">
        <v>10.99</v>
      </c>
      <c r="L421">
        <v>4.9000000000000004</v>
      </c>
      <c r="M421">
        <v>12.61</v>
      </c>
      <c r="N421">
        <v>2</v>
      </c>
      <c r="O421">
        <v>16</v>
      </c>
      <c r="P421">
        <v>403.52</v>
      </c>
      <c r="Q421">
        <v>3.33</v>
      </c>
      <c r="R421">
        <v>400.19</v>
      </c>
      <c r="AC421" s="1">
        <v>43029</v>
      </c>
    </row>
    <row r="422" spans="1:29" x14ac:dyDescent="0.25">
      <c r="A422" t="s">
        <v>54</v>
      </c>
      <c r="D422" t="s">
        <v>1064</v>
      </c>
      <c r="E422" t="s">
        <v>1979</v>
      </c>
      <c r="F422" t="s">
        <v>2073</v>
      </c>
      <c r="G422" t="s">
        <v>2085</v>
      </c>
      <c r="H422" t="s">
        <v>2092</v>
      </c>
      <c r="I422" t="s">
        <v>2107</v>
      </c>
      <c r="J422">
        <v>4810</v>
      </c>
      <c r="K422">
        <v>9.3000000000000007</v>
      </c>
      <c r="L422">
        <v>2.4</v>
      </c>
      <c r="M422">
        <v>23.4</v>
      </c>
      <c r="N422">
        <v>1</v>
      </c>
      <c r="O422">
        <v>14</v>
      </c>
      <c r="P422">
        <v>327.59999999999997</v>
      </c>
      <c r="Q422">
        <v>3.93</v>
      </c>
      <c r="R422">
        <v>323.67</v>
      </c>
      <c r="AC422" s="1">
        <v>43285</v>
      </c>
    </row>
    <row r="423" spans="1:29" x14ac:dyDescent="0.25">
      <c r="A423" t="s">
        <v>220</v>
      </c>
      <c r="D423" t="s">
        <v>1229</v>
      </c>
      <c r="E423" t="s">
        <v>2037</v>
      </c>
      <c r="F423" t="s">
        <v>2080</v>
      </c>
      <c r="G423" t="s">
        <v>2085</v>
      </c>
      <c r="H423" t="s">
        <v>2096</v>
      </c>
      <c r="I423" t="s">
        <v>2097</v>
      </c>
      <c r="J423">
        <v>4873</v>
      </c>
      <c r="K423">
        <v>18.309999999999999</v>
      </c>
      <c r="L423">
        <v>2.2000000000000002</v>
      </c>
      <c r="M423">
        <v>38.630000000000003</v>
      </c>
      <c r="N423">
        <v>4</v>
      </c>
      <c r="O423">
        <v>7</v>
      </c>
      <c r="P423">
        <v>1081.6400000000001</v>
      </c>
      <c r="Q423">
        <v>9.36</v>
      </c>
      <c r="R423">
        <v>1072.28</v>
      </c>
      <c r="AC423" s="1">
        <v>42579</v>
      </c>
    </row>
    <row r="424" spans="1:29" x14ac:dyDescent="0.25">
      <c r="A424" t="s">
        <v>296</v>
      </c>
      <c r="D424" t="s">
        <v>1301</v>
      </c>
      <c r="E424" t="s">
        <v>1988</v>
      </c>
      <c r="F424" t="s">
        <v>2081</v>
      </c>
      <c r="G424" t="s">
        <v>2085</v>
      </c>
      <c r="H424" t="s">
        <v>2094</v>
      </c>
      <c r="I424" t="s">
        <v>2099</v>
      </c>
      <c r="J424">
        <v>4918</v>
      </c>
      <c r="K424">
        <v>42.89</v>
      </c>
      <c r="L424">
        <v>1.6</v>
      </c>
      <c r="M424">
        <v>16.37</v>
      </c>
      <c r="N424">
        <v>1</v>
      </c>
      <c r="O424">
        <v>20</v>
      </c>
      <c r="P424">
        <v>327.40000000000003</v>
      </c>
      <c r="Q424">
        <v>2.71</v>
      </c>
      <c r="R424">
        <v>324.69</v>
      </c>
      <c r="AC424" s="1">
        <v>43041</v>
      </c>
    </row>
    <row r="425" spans="1:29" x14ac:dyDescent="0.25">
      <c r="A425" t="s">
        <v>338</v>
      </c>
      <c r="D425" t="s">
        <v>1341</v>
      </c>
      <c r="E425" t="s">
        <v>2068</v>
      </c>
      <c r="F425" t="s">
        <v>2078</v>
      </c>
      <c r="G425" t="s">
        <v>2085</v>
      </c>
      <c r="H425" t="s">
        <v>2094</v>
      </c>
      <c r="I425" t="s">
        <v>2102</v>
      </c>
      <c r="J425">
        <v>3226</v>
      </c>
      <c r="K425">
        <v>17.27</v>
      </c>
      <c r="L425">
        <v>4.9000000000000004</v>
      </c>
      <c r="M425">
        <v>30.58</v>
      </c>
      <c r="N425">
        <v>4</v>
      </c>
      <c r="O425">
        <v>18</v>
      </c>
      <c r="P425">
        <v>2201.7599999999998</v>
      </c>
      <c r="Q425">
        <v>9.2899999999999991</v>
      </c>
      <c r="R425">
        <v>2192.4699999999998</v>
      </c>
      <c r="AC425" s="1">
        <v>43385</v>
      </c>
    </row>
    <row r="426" spans="1:29" x14ac:dyDescent="0.25">
      <c r="A426" t="s">
        <v>424</v>
      </c>
      <c r="D426" t="s">
        <v>1423</v>
      </c>
      <c r="E426" t="s">
        <v>2003</v>
      </c>
      <c r="F426" t="s">
        <v>2075</v>
      </c>
      <c r="G426" t="s">
        <v>2085</v>
      </c>
      <c r="H426" t="s">
        <v>2092</v>
      </c>
      <c r="I426" t="s">
        <v>2111</v>
      </c>
      <c r="J426">
        <v>2029</v>
      </c>
      <c r="K426">
        <v>19.440000000000001</v>
      </c>
      <c r="L426">
        <v>4.5999999999999996</v>
      </c>
      <c r="M426">
        <v>33.19</v>
      </c>
      <c r="N426">
        <v>2</v>
      </c>
      <c r="O426">
        <v>2</v>
      </c>
      <c r="P426">
        <v>132.76</v>
      </c>
      <c r="Q426">
        <v>8.8699999999999992</v>
      </c>
      <c r="R426">
        <v>123.89</v>
      </c>
      <c r="AC426" s="1">
        <v>41462</v>
      </c>
    </row>
    <row r="427" spans="1:29" x14ac:dyDescent="0.25">
      <c r="A427" t="s">
        <v>494</v>
      </c>
      <c r="D427" t="s">
        <v>1490</v>
      </c>
      <c r="E427" t="s">
        <v>2053</v>
      </c>
      <c r="F427" t="s">
        <v>2082</v>
      </c>
      <c r="G427" t="s">
        <v>2085</v>
      </c>
      <c r="H427" t="s">
        <v>2095</v>
      </c>
      <c r="I427" t="s">
        <v>2111</v>
      </c>
      <c r="J427">
        <v>2087</v>
      </c>
      <c r="K427">
        <v>35.21</v>
      </c>
      <c r="L427">
        <v>4.2</v>
      </c>
      <c r="M427">
        <v>19.12</v>
      </c>
      <c r="N427">
        <v>3</v>
      </c>
      <c r="O427">
        <v>16</v>
      </c>
      <c r="P427">
        <v>917.76</v>
      </c>
      <c r="Q427">
        <v>1.0900000000000001</v>
      </c>
      <c r="R427">
        <v>916.67</v>
      </c>
      <c r="AC427" s="1">
        <v>40657</v>
      </c>
    </row>
    <row r="428" spans="1:29" x14ac:dyDescent="0.25">
      <c r="A428" t="s">
        <v>512</v>
      </c>
      <c r="D428" t="s">
        <v>1507</v>
      </c>
      <c r="E428" t="s">
        <v>2020</v>
      </c>
      <c r="F428" t="s">
        <v>2073</v>
      </c>
      <c r="G428" t="s">
        <v>2085</v>
      </c>
      <c r="H428" t="s">
        <v>2093</v>
      </c>
      <c r="I428" t="s">
        <v>2103</v>
      </c>
      <c r="J428">
        <v>4682</v>
      </c>
      <c r="K428">
        <v>37.42</v>
      </c>
      <c r="L428">
        <v>4.2</v>
      </c>
      <c r="M428">
        <v>9.7899999999999991</v>
      </c>
      <c r="N428">
        <v>2</v>
      </c>
      <c r="O428">
        <v>10</v>
      </c>
      <c r="P428">
        <v>195.79999999999998</v>
      </c>
      <c r="Q428">
        <v>2.08</v>
      </c>
      <c r="R428">
        <v>193.72</v>
      </c>
      <c r="AC428" s="1">
        <v>40216</v>
      </c>
    </row>
    <row r="429" spans="1:29" x14ac:dyDescent="0.25">
      <c r="A429" t="s">
        <v>538</v>
      </c>
      <c r="D429" t="s">
        <v>1532</v>
      </c>
      <c r="E429" t="s">
        <v>2029</v>
      </c>
      <c r="F429" t="s">
        <v>2080</v>
      </c>
      <c r="G429" t="s">
        <v>2085</v>
      </c>
      <c r="H429" t="s">
        <v>2094</v>
      </c>
      <c r="I429" t="s">
        <v>2099</v>
      </c>
      <c r="J429">
        <v>1882</v>
      </c>
      <c r="K429">
        <v>16.62</v>
      </c>
      <c r="L429">
        <v>3.1</v>
      </c>
      <c r="M429">
        <v>39.83</v>
      </c>
      <c r="N429">
        <v>2</v>
      </c>
      <c r="O429">
        <v>8</v>
      </c>
      <c r="P429">
        <v>637.28</v>
      </c>
      <c r="Q429">
        <v>2.16</v>
      </c>
      <c r="R429">
        <v>635.12</v>
      </c>
      <c r="AC429" s="1">
        <v>43053</v>
      </c>
    </row>
    <row r="430" spans="1:29" x14ac:dyDescent="0.25">
      <c r="A430" t="s">
        <v>557</v>
      </c>
      <c r="D430" t="s">
        <v>1550</v>
      </c>
      <c r="E430" t="s">
        <v>2028</v>
      </c>
      <c r="F430" t="s">
        <v>2082</v>
      </c>
      <c r="G430" t="s">
        <v>2085</v>
      </c>
      <c r="H430" t="s">
        <v>2096</v>
      </c>
      <c r="I430" t="s">
        <v>2100</v>
      </c>
      <c r="J430">
        <v>1996</v>
      </c>
      <c r="K430">
        <v>25.96</v>
      </c>
      <c r="L430">
        <v>2.2000000000000002</v>
      </c>
      <c r="M430">
        <v>32.19</v>
      </c>
      <c r="N430">
        <v>4</v>
      </c>
      <c r="O430">
        <v>14</v>
      </c>
      <c r="P430">
        <v>1802.6399999999999</v>
      </c>
      <c r="Q430">
        <v>4.76</v>
      </c>
      <c r="R430">
        <v>1797.88</v>
      </c>
      <c r="AC430" s="1">
        <v>42314</v>
      </c>
    </row>
    <row r="431" spans="1:29" x14ac:dyDescent="0.25">
      <c r="A431" t="s">
        <v>570</v>
      </c>
      <c r="D431" t="s">
        <v>1561</v>
      </c>
      <c r="E431" t="s">
        <v>2066</v>
      </c>
      <c r="F431" t="s">
        <v>2073</v>
      </c>
      <c r="G431" t="s">
        <v>2085</v>
      </c>
      <c r="H431" t="s">
        <v>2092</v>
      </c>
      <c r="I431" t="s">
        <v>2098</v>
      </c>
      <c r="J431">
        <v>948</v>
      </c>
      <c r="K431">
        <v>43.88</v>
      </c>
      <c r="L431">
        <v>5</v>
      </c>
      <c r="M431">
        <v>35.06</v>
      </c>
      <c r="N431">
        <v>5</v>
      </c>
      <c r="O431">
        <v>4</v>
      </c>
      <c r="P431">
        <v>701.2</v>
      </c>
      <c r="Q431">
        <v>5.94</v>
      </c>
      <c r="R431">
        <v>695.26</v>
      </c>
      <c r="AC431" s="1">
        <v>41223</v>
      </c>
    </row>
    <row r="432" spans="1:29" x14ac:dyDescent="0.25">
      <c r="A432" t="s">
        <v>761</v>
      </c>
      <c r="D432" t="s">
        <v>1737</v>
      </c>
      <c r="E432" t="s">
        <v>2029</v>
      </c>
      <c r="F432" t="s">
        <v>2081</v>
      </c>
      <c r="G432" t="s">
        <v>2085</v>
      </c>
      <c r="H432" t="s">
        <v>2096</v>
      </c>
      <c r="I432" t="s">
        <v>2108</v>
      </c>
      <c r="J432">
        <v>648</v>
      </c>
      <c r="K432">
        <v>42.85</v>
      </c>
      <c r="L432">
        <v>4</v>
      </c>
      <c r="M432">
        <v>11.24</v>
      </c>
      <c r="N432">
        <v>4</v>
      </c>
      <c r="O432">
        <v>8</v>
      </c>
      <c r="P432">
        <v>359.68</v>
      </c>
      <c r="Q432">
        <v>9</v>
      </c>
      <c r="R432">
        <v>350.68</v>
      </c>
      <c r="AC432" s="1">
        <v>42511</v>
      </c>
    </row>
    <row r="433" spans="1:29" x14ac:dyDescent="0.25">
      <c r="A433" t="s">
        <v>764</v>
      </c>
      <c r="D433" t="s">
        <v>1740</v>
      </c>
      <c r="E433" t="s">
        <v>2070</v>
      </c>
      <c r="F433" t="s">
        <v>2077</v>
      </c>
      <c r="G433" t="s">
        <v>2085</v>
      </c>
      <c r="H433" t="s">
        <v>2094</v>
      </c>
      <c r="I433" t="s">
        <v>2111</v>
      </c>
      <c r="J433">
        <v>1288</v>
      </c>
      <c r="K433">
        <v>33.340000000000003</v>
      </c>
      <c r="L433">
        <v>3.2</v>
      </c>
      <c r="M433">
        <v>14.14</v>
      </c>
      <c r="N433">
        <v>5</v>
      </c>
      <c r="O433">
        <v>19</v>
      </c>
      <c r="P433">
        <v>1343.3</v>
      </c>
      <c r="Q433">
        <v>4.8099999999999996</v>
      </c>
      <c r="R433">
        <v>1338.49</v>
      </c>
      <c r="AC433" s="1">
        <v>41166</v>
      </c>
    </row>
    <row r="434" spans="1:29" x14ac:dyDescent="0.25">
      <c r="A434" t="s">
        <v>784</v>
      </c>
      <c r="D434" t="s">
        <v>1760</v>
      </c>
      <c r="E434" t="s">
        <v>2057</v>
      </c>
      <c r="F434" t="s">
        <v>2080</v>
      </c>
      <c r="G434" t="s">
        <v>2085</v>
      </c>
      <c r="H434" t="s">
        <v>2096</v>
      </c>
      <c r="I434" t="s">
        <v>2102</v>
      </c>
      <c r="J434">
        <v>638</v>
      </c>
      <c r="K434">
        <v>44.96</v>
      </c>
      <c r="L434">
        <v>1.7</v>
      </c>
      <c r="M434">
        <v>7.4</v>
      </c>
      <c r="N434">
        <v>3</v>
      </c>
      <c r="O434">
        <v>7</v>
      </c>
      <c r="P434">
        <v>155.40000000000003</v>
      </c>
      <c r="Q434">
        <v>8.23</v>
      </c>
      <c r="R434">
        <v>147.16999999999999</v>
      </c>
      <c r="AC434" s="1">
        <v>42196</v>
      </c>
    </row>
    <row r="435" spans="1:29" x14ac:dyDescent="0.25">
      <c r="A435" t="s">
        <v>858</v>
      </c>
      <c r="D435" t="s">
        <v>1826</v>
      </c>
      <c r="E435" t="s">
        <v>2072</v>
      </c>
      <c r="F435" t="s">
        <v>2079</v>
      </c>
      <c r="G435" t="s">
        <v>2085</v>
      </c>
      <c r="H435" t="s">
        <v>2096</v>
      </c>
      <c r="I435" t="s">
        <v>2100</v>
      </c>
      <c r="J435">
        <v>4698</v>
      </c>
      <c r="K435">
        <v>20.52</v>
      </c>
      <c r="L435">
        <v>2.9</v>
      </c>
      <c r="M435">
        <v>22.07</v>
      </c>
      <c r="N435">
        <v>5</v>
      </c>
      <c r="O435">
        <v>16</v>
      </c>
      <c r="P435">
        <v>1765.6</v>
      </c>
      <c r="Q435">
        <v>8.64</v>
      </c>
      <c r="R435">
        <v>1756.96</v>
      </c>
      <c r="AC435" s="1">
        <v>42839</v>
      </c>
    </row>
    <row r="436" spans="1:29" x14ac:dyDescent="0.25">
      <c r="A436" t="s">
        <v>907</v>
      </c>
      <c r="D436" t="s">
        <v>1872</v>
      </c>
      <c r="E436" t="s">
        <v>2038</v>
      </c>
      <c r="F436" t="s">
        <v>2073</v>
      </c>
      <c r="G436" t="s">
        <v>2085</v>
      </c>
      <c r="H436" t="s">
        <v>2092</v>
      </c>
      <c r="I436" t="s">
        <v>2098</v>
      </c>
      <c r="J436">
        <v>507</v>
      </c>
      <c r="K436">
        <v>13.85</v>
      </c>
      <c r="L436">
        <v>1.4</v>
      </c>
      <c r="M436">
        <v>32.119999999999997</v>
      </c>
      <c r="N436">
        <v>2</v>
      </c>
      <c r="O436">
        <v>9</v>
      </c>
      <c r="P436">
        <v>578.16</v>
      </c>
      <c r="Q436">
        <v>2.9</v>
      </c>
      <c r="R436">
        <v>575.26</v>
      </c>
      <c r="AC436" s="1">
        <v>40311</v>
      </c>
    </row>
    <row r="437" spans="1:29" x14ac:dyDescent="0.25">
      <c r="A437" t="s">
        <v>923</v>
      </c>
      <c r="D437" t="s">
        <v>1888</v>
      </c>
      <c r="E437" t="s">
        <v>2054</v>
      </c>
      <c r="F437" t="s">
        <v>2076</v>
      </c>
      <c r="G437" t="s">
        <v>2085</v>
      </c>
      <c r="H437" t="s">
        <v>2092</v>
      </c>
      <c r="I437" t="s">
        <v>2099</v>
      </c>
      <c r="J437">
        <v>3038</v>
      </c>
      <c r="K437">
        <v>9.1199999999999992</v>
      </c>
      <c r="L437">
        <v>2.4</v>
      </c>
      <c r="M437">
        <v>13.68</v>
      </c>
      <c r="N437">
        <v>4</v>
      </c>
      <c r="O437">
        <v>9</v>
      </c>
      <c r="P437">
        <v>492.48</v>
      </c>
      <c r="Q437">
        <v>2.2999999999999998</v>
      </c>
      <c r="R437">
        <v>490.18</v>
      </c>
      <c r="AC437" s="1">
        <v>41913</v>
      </c>
    </row>
    <row r="438" spans="1:29" x14ac:dyDescent="0.25">
      <c r="A438" t="s">
        <v>133</v>
      </c>
      <c r="D438" t="s">
        <v>1143</v>
      </c>
      <c r="E438" t="s">
        <v>2038</v>
      </c>
      <c r="F438" t="s">
        <v>2078</v>
      </c>
      <c r="G438" t="s">
        <v>2091</v>
      </c>
      <c r="H438" t="s">
        <v>2094</v>
      </c>
      <c r="I438" t="s">
        <v>2103</v>
      </c>
      <c r="J438">
        <v>2020</v>
      </c>
      <c r="K438">
        <v>30.85</v>
      </c>
      <c r="L438">
        <v>5</v>
      </c>
      <c r="M438">
        <v>15.16</v>
      </c>
      <c r="N438">
        <v>4</v>
      </c>
      <c r="O438">
        <v>15</v>
      </c>
      <c r="P438">
        <v>909.6</v>
      </c>
      <c r="Q438">
        <v>6.49</v>
      </c>
      <c r="R438">
        <v>903.11</v>
      </c>
      <c r="AC438" s="1">
        <v>42592</v>
      </c>
    </row>
    <row r="439" spans="1:29" x14ac:dyDescent="0.25">
      <c r="A439" t="s">
        <v>176</v>
      </c>
      <c r="D439" t="s">
        <v>1185</v>
      </c>
      <c r="E439" t="s">
        <v>2003</v>
      </c>
      <c r="F439" t="s">
        <v>2077</v>
      </c>
      <c r="G439" t="s">
        <v>2091</v>
      </c>
      <c r="H439" t="s">
        <v>2096</v>
      </c>
      <c r="I439" t="s">
        <v>2101</v>
      </c>
      <c r="J439">
        <v>201</v>
      </c>
      <c r="K439">
        <v>31.71</v>
      </c>
      <c r="L439">
        <v>4.5999999999999996</v>
      </c>
      <c r="M439">
        <v>18.690000000000001</v>
      </c>
      <c r="N439">
        <v>5</v>
      </c>
      <c r="O439">
        <v>19</v>
      </c>
      <c r="P439">
        <v>1775.55</v>
      </c>
      <c r="Q439">
        <v>4.1500000000000004</v>
      </c>
      <c r="R439">
        <v>1771.4</v>
      </c>
      <c r="AC439" s="1">
        <v>43164</v>
      </c>
    </row>
    <row r="440" spans="1:29" x14ac:dyDescent="0.25">
      <c r="A440" t="s">
        <v>213</v>
      </c>
      <c r="D440" t="s">
        <v>1222</v>
      </c>
      <c r="E440" t="s">
        <v>2000</v>
      </c>
      <c r="F440" t="s">
        <v>2077</v>
      </c>
      <c r="G440" t="s">
        <v>2091</v>
      </c>
      <c r="H440" t="s">
        <v>2095</v>
      </c>
      <c r="I440" t="s">
        <v>2104</v>
      </c>
      <c r="J440">
        <v>4492</v>
      </c>
      <c r="K440">
        <v>47.27</v>
      </c>
      <c r="L440">
        <v>1.2</v>
      </c>
      <c r="M440">
        <v>24.59</v>
      </c>
      <c r="N440">
        <v>1</v>
      </c>
      <c r="O440">
        <v>15</v>
      </c>
      <c r="P440">
        <v>368.85</v>
      </c>
      <c r="Q440">
        <v>4.12</v>
      </c>
      <c r="R440">
        <v>364.73</v>
      </c>
      <c r="AC440" s="1">
        <v>42566</v>
      </c>
    </row>
    <row r="441" spans="1:29" x14ac:dyDescent="0.25">
      <c r="A441" t="s">
        <v>252</v>
      </c>
      <c r="D441" t="s">
        <v>1259</v>
      </c>
      <c r="E441" t="s">
        <v>2035</v>
      </c>
      <c r="F441" t="s">
        <v>2081</v>
      </c>
      <c r="G441" t="s">
        <v>2091</v>
      </c>
      <c r="H441" t="s">
        <v>2094</v>
      </c>
      <c r="I441" t="s">
        <v>2111</v>
      </c>
      <c r="J441">
        <v>4273</v>
      </c>
      <c r="K441">
        <v>45.21</v>
      </c>
      <c r="L441">
        <v>2</v>
      </c>
      <c r="M441">
        <v>22.41</v>
      </c>
      <c r="N441">
        <v>1</v>
      </c>
      <c r="O441">
        <v>6</v>
      </c>
      <c r="P441">
        <v>134.46</v>
      </c>
      <c r="Q441">
        <v>8.81</v>
      </c>
      <c r="R441">
        <v>125.65</v>
      </c>
      <c r="AC441" s="1">
        <v>42912</v>
      </c>
    </row>
    <row r="442" spans="1:29" x14ac:dyDescent="0.25">
      <c r="A442" t="s">
        <v>416</v>
      </c>
      <c r="D442" t="s">
        <v>1415</v>
      </c>
      <c r="E442" t="s">
        <v>1997</v>
      </c>
      <c r="F442" t="s">
        <v>2079</v>
      </c>
      <c r="G442" t="s">
        <v>2091</v>
      </c>
      <c r="H442" t="s">
        <v>2092</v>
      </c>
      <c r="I442" t="s">
        <v>2103</v>
      </c>
      <c r="J442">
        <v>2561</v>
      </c>
      <c r="K442">
        <v>12.45</v>
      </c>
      <c r="L442">
        <v>4.5999999999999996</v>
      </c>
      <c r="M442">
        <v>28.75</v>
      </c>
      <c r="N442">
        <v>5</v>
      </c>
      <c r="O442">
        <v>11</v>
      </c>
      <c r="P442">
        <v>1581.25</v>
      </c>
      <c r="Q442">
        <v>7.96</v>
      </c>
      <c r="R442">
        <v>1573.29</v>
      </c>
      <c r="AC442" s="1">
        <v>42933</v>
      </c>
    </row>
    <row r="443" spans="1:29" x14ac:dyDescent="0.25">
      <c r="A443" t="s">
        <v>442</v>
      </c>
      <c r="D443" t="s">
        <v>1440</v>
      </c>
      <c r="E443" t="s">
        <v>2014</v>
      </c>
      <c r="F443" t="s">
        <v>2082</v>
      </c>
      <c r="G443" t="s">
        <v>2091</v>
      </c>
      <c r="H443" t="s">
        <v>2095</v>
      </c>
      <c r="I443" t="s">
        <v>2106</v>
      </c>
      <c r="J443">
        <v>2852</v>
      </c>
      <c r="K443">
        <v>29.77</v>
      </c>
      <c r="L443">
        <v>3.4</v>
      </c>
      <c r="M443">
        <v>31.14</v>
      </c>
      <c r="N443">
        <v>2</v>
      </c>
      <c r="O443">
        <v>2</v>
      </c>
      <c r="P443">
        <v>124.56</v>
      </c>
      <c r="Q443">
        <v>2.75</v>
      </c>
      <c r="R443">
        <v>121.81</v>
      </c>
      <c r="AC443" s="1">
        <v>41798</v>
      </c>
    </row>
    <row r="444" spans="1:29" x14ac:dyDescent="0.25">
      <c r="A444" t="s">
        <v>477</v>
      </c>
      <c r="D444" t="s">
        <v>1475</v>
      </c>
      <c r="E444" t="s">
        <v>2033</v>
      </c>
      <c r="F444" t="s">
        <v>2079</v>
      </c>
      <c r="G444" t="s">
        <v>2091</v>
      </c>
      <c r="H444" t="s">
        <v>2094</v>
      </c>
      <c r="I444" t="s">
        <v>2101</v>
      </c>
      <c r="J444">
        <v>1835</v>
      </c>
      <c r="K444">
        <v>17.420000000000002</v>
      </c>
      <c r="L444">
        <v>2.5</v>
      </c>
      <c r="M444">
        <v>34.619999999999997</v>
      </c>
      <c r="N444">
        <v>4</v>
      </c>
      <c r="O444">
        <v>15</v>
      </c>
      <c r="P444">
        <v>2077.1999999999998</v>
      </c>
      <c r="Q444">
        <v>0.88</v>
      </c>
      <c r="R444">
        <v>2076.3200000000002</v>
      </c>
      <c r="AC444" s="1">
        <v>41650</v>
      </c>
    </row>
    <row r="445" spans="1:29" x14ac:dyDescent="0.25">
      <c r="A445" t="s">
        <v>496</v>
      </c>
      <c r="D445" t="s">
        <v>1492</v>
      </c>
      <c r="E445" t="s">
        <v>1992</v>
      </c>
      <c r="F445" t="s">
        <v>2078</v>
      </c>
      <c r="G445" t="s">
        <v>2091</v>
      </c>
      <c r="H445" t="s">
        <v>2095</v>
      </c>
      <c r="I445" t="s">
        <v>2105</v>
      </c>
      <c r="J445">
        <v>1226</v>
      </c>
      <c r="K445">
        <v>49.4</v>
      </c>
      <c r="L445">
        <v>1.6</v>
      </c>
      <c r="M445">
        <v>8.14</v>
      </c>
      <c r="N445">
        <v>3</v>
      </c>
      <c r="O445">
        <v>6</v>
      </c>
      <c r="P445">
        <v>146.52000000000001</v>
      </c>
      <c r="Q445">
        <v>2.79</v>
      </c>
      <c r="R445">
        <v>143.72999999999999</v>
      </c>
      <c r="AC445" s="1">
        <v>42415</v>
      </c>
    </row>
    <row r="446" spans="1:29" x14ac:dyDescent="0.25">
      <c r="A446" t="s">
        <v>527</v>
      </c>
      <c r="D446" t="s">
        <v>1522</v>
      </c>
      <c r="E446" t="s">
        <v>2008</v>
      </c>
      <c r="F446" t="s">
        <v>2079</v>
      </c>
      <c r="G446" t="s">
        <v>2091</v>
      </c>
      <c r="H446" t="s">
        <v>2093</v>
      </c>
      <c r="I446" t="s">
        <v>2107</v>
      </c>
      <c r="J446">
        <v>2019</v>
      </c>
      <c r="K446">
        <v>31.76</v>
      </c>
      <c r="L446">
        <v>4.5999999999999996</v>
      </c>
      <c r="M446">
        <v>22.22</v>
      </c>
      <c r="N446">
        <v>5</v>
      </c>
      <c r="O446">
        <v>15</v>
      </c>
      <c r="P446">
        <v>1666.5</v>
      </c>
      <c r="Q446">
        <v>0.12</v>
      </c>
      <c r="R446">
        <v>1666.38</v>
      </c>
      <c r="AC446" s="1">
        <v>41909</v>
      </c>
    </row>
    <row r="447" spans="1:29" x14ac:dyDescent="0.25">
      <c r="A447" t="s">
        <v>534</v>
      </c>
      <c r="D447" t="s">
        <v>1529</v>
      </c>
      <c r="E447" t="s">
        <v>2003</v>
      </c>
      <c r="F447" t="s">
        <v>2080</v>
      </c>
      <c r="G447" t="s">
        <v>2091</v>
      </c>
      <c r="H447" t="s">
        <v>2095</v>
      </c>
      <c r="I447" t="s">
        <v>2100</v>
      </c>
      <c r="J447">
        <v>3116</v>
      </c>
      <c r="K447">
        <v>7.22</v>
      </c>
      <c r="L447">
        <v>3.3</v>
      </c>
      <c r="M447">
        <v>28.8</v>
      </c>
      <c r="N447">
        <v>1</v>
      </c>
      <c r="O447">
        <v>17</v>
      </c>
      <c r="P447">
        <v>489.6</v>
      </c>
      <c r="Q447">
        <v>2.72</v>
      </c>
      <c r="R447">
        <v>486.88</v>
      </c>
      <c r="AC447" s="1">
        <v>40689</v>
      </c>
    </row>
    <row r="448" spans="1:29" x14ac:dyDescent="0.25">
      <c r="A448" t="s">
        <v>1005</v>
      </c>
      <c r="D448" t="s">
        <v>1963</v>
      </c>
      <c r="E448" t="s">
        <v>1987</v>
      </c>
      <c r="F448" t="s">
        <v>2079</v>
      </c>
      <c r="G448" t="s">
        <v>2091</v>
      </c>
      <c r="H448" t="s">
        <v>2094</v>
      </c>
      <c r="I448" t="s">
        <v>2108</v>
      </c>
      <c r="J448">
        <v>1906</v>
      </c>
      <c r="K448">
        <v>27.45</v>
      </c>
      <c r="L448">
        <v>1</v>
      </c>
      <c r="M448">
        <v>12.94</v>
      </c>
      <c r="N448">
        <v>1</v>
      </c>
      <c r="O448">
        <v>7</v>
      </c>
      <c r="P448">
        <v>90.58</v>
      </c>
      <c r="Q448">
        <v>2.37</v>
      </c>
      <c r="R448">
        <v>88.21</v>
      </c>
      <c r="AC448" s="1">
        <v>40933</v>
      </c>
    </row>
    <row r="449" spans="1:29" x14ac:dyDescent="0.25">
      <c r="A449" t="s">
        <v>138</v>
      </c>
      <c r="D449" t="s">
        <v>1147</v>
      </c>
      <c r="E449" t="s">
        <v>2039</v>
      </c>
      <c r="F449" t="s">
        <v>2079</v>
      </c>
      <c r="G449" t="s">
        <v>2086</v>
      </c>
      <c r="H449" t="s">
        <v>2094</v>
      </c>
      <c r="I449" t="s">
        <v>2097</v>
      </c>
      <c r="J449">
        <v>3778</v>
      </c>
      <c r="K449">
        <v>15.16</v>
      </c>
      <c r="L449">
        <v>3.6</v>
      </c>
      <c r="M449">
        <v>39.340000000000003</v>
      </c>
      <c r="N449">
        <v>5</v>
      </c>
      <c r="O449">
        <v>6</v>
      </c>
      <c r="P449">
        <v>1180.2</v>
      </c>
      <c r="Q449">
        <v>5.92</v>
      </c>
      <c r="R449">
        <v>1174.28</v>
      </c>
      <c r="AC449" s="1">
        <v>42200</v>
      </c>
    </row>
    <row r="450" spans="1:29" x14ac:dyDescent="0.25">
      <c r="A450" t="s">
        <v>316</v>
      </c>
      <c r="D450" t="s">
        <v>1320</v>
      </c>
      <c r="E450" t="s">
        <v>2031</v>
      </c>
      <c r="F450" t="s">
        <v>2076</v>
      </c>
      <c r="G450" t="s">
        <v>2086</v>
      </c>
      <c r="H450" t="s">
        <v>2094</v>
      </c>
      <c r="I450" t="s">
        <v>2109</v>
      </c>
      <c r="J450">
        <v>790</v>
      </c>
      <c r="K450">
        <v>22.35</v>
      </c>
      <c r="L450">
        <v>4</v>
      </c>
      <c r="M450">
        <v>10.86</v>
      </c>
      <c r="N450">
        <v>5</v>
      </c>
      <c r="O450">
        <v>20</v>
      </c>
      <c r="P450">
        <v>1086</v>
      </c>
      <c r="Q450">
        <v>6.01</v>
      </c>
      <c r="R450">
        <v>1079.99</v>
      </c>
      <c r="AC450" s="1">
        <v>43003</v>
      </c>
    </row>
    <row r="451" spans="1:29" x14ac:dyDescent="0.25">
      <c r="A451" t="s">
        <v>322</v>
      </c>
      <c r="D451" t="s">
        <v>1325</v>
      </c>
      <c r="E451" t="s">
        <v>1999</v>
      </c>
      <c r="F451" t="s">
        <v>2074</v>
      </c>
      <c r="G451" t="s">
        <v>2086</v>
      </c>
      <c r="H451" t="s">
        <v>2092</v>
      </c>
      <c r="I451" t="s">
        <v>2108</v>
      </c>
      <c r="J451">
        <v>2815</v>
      </c>
      <c r="K451">
        <v>13.28</v>
      </c>
      <c r="L451">
        <v>4.0999999999999996</v>
      </c>
      <c r="M451">
        <v>21.26</v>
      </c>
      <c r="N451">
        <v>4</v>
      </c>
      <c r="O451">
        <v>5</v>
      </c>
      <c r="P451">
        <v>425.20000000000005</v>
      </c>
      <c r="Q451">
        <v>5.37</v>
      </c>
      <c r="R451">
        <v>419.83</v>
      </c>
      <c r="AC451" s="1">
        <v>42443</v>
      </c>
    </row>
    <row r="452" spans="1:29" x14ac:dyDescent="0.25">
      <c r="A452" t="s">
        <v>362</v>
      </c>
      <c r="D452" t="s">
        <v>1364</v>
      </c>
      <c r="E452" t="s">
        <v>1983</v>
      </c>
      <c r="F452" t="s">
        <v>2075</v>
      </c>
      <c r="G452" t="s">
        <v>2086</v>
      </c>
      <c r="H452" t="s">
        <v>2096</v>
      </c>
      <c r="I452" t="s">
        <v>2111</v>
      </c>
      <c r="J452">
        <v>996</v>
      </c>
      <c r="K452">
        <v>38.49</v>
      </c>
      <c r="L452">
        <v>3</v>
      </c>
      <c r="M452">
        <v>34.35</v>
      </c>
      <c r="N452">
        <v>2</v>
      </c>
      <c r="O452">
        <v>12</v>
      </c>
      <c r="P452">
        <v>824.40000000000009</v>
      </c>
      <c r="Q452">
        <v>9.75</v>
      </c>
      <c r="R452">
        <v>814.65</v>
      </c>
      <c r="AC452" s="1">
        <v>42714</v>
      </c>
    </row>
    <row r="453" spans="1:29" x14ac:dyDescent="0.25">
      <c r="A453" t="s">
        <v>472</v>
      </c>
      <c r="D453" t="s">
        <v>1470</v>
      </c>
      <c r="E453" t="s">
        <v>2045</v>
      </c>
      <c r="F453" t="s">
        <v>2073</v>
      </c>
      <c r="G453" t="s">
        <v>2086</v>
      </c>
      <c r="H453" t="s">
        <v>2095</v>
      </c>
      <c r="I453" t="s">
        <v>2107</v>
      </c>
      <c r="J453">
        <v>3502</v>
      </c>
      <c r="K453">
        <v>37.840000000000003</v>
      </c>
      <c r="L453">
        <v>2.2999999999999998</v>
      </c>
      <c r="M453">
        <v>39.21</v>
      </c>
      <c r="N453">
        <v>3</v>
      </c>
      <c r="O453">
        <v>10</v>
      </c>
      <c r="P453">
        <v>1176.3</v>
      </c>
      <c r="Q453">
        <v>0.21</v>
      </c>
      <c r="R453">
        <v>1176.0899999999999</v>
      </c>
      <c r="AC453" s="1">
        <v>41952</v>
      </c>
    </row>
    <row r="454" spans="1:29" x14ac:dyDescent="0.25">
      <c r="A454" t="s">
        <v>511</v>
      </c>
      <c r="D454" t="s">
        <v>1506</v>
      </c>
      <c r="E454" t="s">
        <v>2048</v>
      </c>
      <c r="F454" t="s">
        <v>2078</v>
      </c>
      <c r="G454" t="s">
        <v>2086</v>
      </c>
      <c r="H454" t="s">
        <v>2095</v>
      </c>
      <c r="I454" t="s">
        <v>2107</v>
      </c>
      <c r="J454">
        <v>433</v>
      </c>
      <c r="K454">
        <v>12.5</v>
      </c>
      <c r="L454">
        <v>2.7</v>
      </c>
      <c r="M454">
        <v>26.74</v>
      </c>
      <c r="N454">
        <v>1</v>
      </c>
      <c r="O454">
        <v>18</v>
      </c>
      <c r="P454">
        <v>481.32</v>
      </c>
      <c r="Q454">
        <v>7.26</v>
      </c>
      <c r="R454">
        <v>474.06</v>
      </c>
      <c r="AC454" s="1">
        <v>42353</v>
      </c>
    </row>
    <row r="455" spans="1:29" x14ac:dyDescent="0.25">
      <c r="A455" t="s">
        <v>766</v>
      </c>
      <c r="D455" t="s">
        <v>1742</v>
      </c>
      <c r="E455" t="s">
        <v>2023</v>
      </c>
      <c r="F455" t="s">
        <v>2077</v>
      </c>
      <c r="G455" t="s">
        <v>2086</v>
      </c>
      <c r="H455" t="s">
        <v>2094</v>
      </c>
      <c r="I455" t="s">
        <v>2102</v>
      </c>
      <c r="J455">
        <v>1318</v>
      </c>
      <c r="K455">
        <v>20.86</v>
      </c>
      <c r="L455">
        <v>2.1</v>
      </c>
      <c r="M455">
        <v>24.95</v>
      </c>
      <c r="N455">
        <v>1</v>
      </c>
      <c r="O455">
        <v>2</v>
      </c>
      <c r="P455">
        <v>49.9</v>
      </c>
      <c r="Q455">
        <v>3.5</v>
      </c>
      <c r="R455">
        <v>46.4</v>
      </c>
      <c r="AC455" s="1">
        <v>43153</v>
      </c>
    </row>
    <row r="456" spans="1:29" x14ac:dyDescent="0.25">
      <c r="A456" t="s">
        <v>1015</v>
      </c>
      <c r="D456" t="s">
        <v>1743</v>
      </c>
      <c r="E456" t="s">
        <v>2062</v>
      </c>
      <c r="F456" t="s">
        <v>2081</v>
      </c>
      <c r="G456" t="s">
        <v>2086</v>
      </c>
      <c r="H456" t="s">
        <v>2092</v>
      </c>
      <c r="I456" t="s">
        <v>2098</v>
      </c>
      <c r="J456">
        <v>2364</v>
      </c>
      <c r="K456">
        <v>20.32</v>
      </c>
      <c r="L456">
        <v>2.1</v>
      </c>
      <c r="M456">
        <v>8.9499999999999993</v>
      </c>
      <c r="N456">
        <v>3</v>
      </c>
      <c r="O456">
        <v>16</v>
      </c>
      <c r="P456">
        <v>429.59999999999997</v>
      </c>
      <c r="Q456">
        <v>7.44</v>
      </c>
      <c r="R456">
        <v>422.16</v>
      </c>
      <c r="AC456" s="1">
        <v>43145</v>
      </c>
    </row>
    <row r="457" spans="1:29" x14ac:dyDescent="0.25">
      <c r="A457" t="s">
        <v>113</v>
      </c>
      <c r="D457" t="s">
        <v>1123</v>
      </c>
      <c r="E457" t="s">
        <v>2005</v>
      </c>
      <c r="F457" t="s">
        <v>2082</v>
      </c>
      <c r="G457" t="s">
        <v>2089</v>
      </c>
      <c r="H457" t="s">
        <v>2092</v>
      </c>
      <c r="I457" t="s">
        <v>2110</v>
      </c>
      <c r="J457">
        <v>452</v>
      </c>
      <c r="K457">
        <v>31.49</v>
      </c>
      <c r="L457">
        <v>1.7</v>
      </c>
      <c r="M457">
        <v>36.76</v>
      </c>
      <c r="N457">
        <v>5</v>
      </c>
      <c r="O457">
        <v>13</v>
      </c>
      <c r="P457">
        <v>2389.3999999999996</v>
      </c>
      <c r="Q457">
        <v>9.69</v>
      </c>
      <c r="R457">
        <v>2379.71</v>
      </c>
      <c r="AC457" s="1">
        <v>43159</v>
      </c>
    </row>
    <row r="458" spans="1:29" x14ac:dyDescent="0.25">
      <c r="A458" t="s">
        <v>247</v>
      </c>
      <c r="D458" t="s">
        <v>1254</v>
      </c>
      <c r="E458" t="s">
        <v>1997</v>
      </c>
      <c r="F458" t="s">
        <v>2077</v>
      </c>
      <c r="G458" t="s">
        <v>2089</v>
      </c>
      <c r="H458" t="s">
        <v>2092</v>
      </c>
      <c r="I458" t="s">
        <v>2098</v>
      </c>
      <c r="J458">
        <v>4757</v>
      </c>
      <c r="K458">
        <v>43.04</v>
      </c>
      <c r="L458">
        <v>1.4</v>
      </c>
      <c r="M458">
        <v>35.33</v>
      </c>
      <c r="N458">
        <v>2</v>
      </c>
      <c r="O458">
        <v>12</v>
      </c>
      <c r="P458">
        <v>847.92</v>
      </c>
      <c r="Q458">
        <v>6.94</v>
      </c>
      <c r="R458">
        <v>840.98</v>
      </c>
      <c r="AC458" s="1">
        <v>42626</v>
      </c>
    </row>
    <row r="459" spans="1:29" x14ac:dyDescent="0.25">
      <c r="A459" t="s">
        <v>284</v>
      </c>
      <c r="D459" t="s">
        <v>1289</v>
      </c>
      <c r="E459" t="s">
        <v>2020</v>
      </c>
      <c r="F459" t="s">
        <v>2080</v>
      </c>
      <c r="G459" t="s">
        <v>2089</v>
      </c>
      <c r="H459" t="s">
        <v>2095</v>
      </c>
      <c r="I459" t="s">
        <v>2097</v>
      </c>
      <c r="J459">
        <v>2493</v>
      </c>
      <c r="K459">
        <v>34.64</v>
      </c>
      <c r="L459">
        <v>4.7</v>
      </c>
      <c r="M459">
        <v>5.58</v>
      </c>
      <c r="N459">
        <v>4</v>
      </c>
      <c r="O459">
        <v>12</v>
      </c>
      <c r="P459">
        <v>267.84000000000003</v>
      </c>
      <c r="Q459">
        <v>3.77</v>
      </c>
      <c r="R459">
        <v>264.07</v>
      </c>
      <c r="AC459" s="1">
        <v>42835</v>
      </c>
    </row>
    <row r="460" spans="1:29" x14ac:dyDescent="0.25">
      <c r="A460" t="s">
        <v>309</v>
      </c>
      <c r="D460" t="s">
        <v>1313</v>
      </c>
      <c r="E460" t="s">
        <v>2069</v>
      </c>
      <c r="F460" t="s">
        <v>2073</v>
      </c>
      <c r="G460" t="s">
        <v>2089</v>
      </c>
      <c r="H460" t="s">
        <v>2092</v>
      </c>
      <c r="I460" t="s">
        <v>2107</v>
      </c>
      <c r="J460">
        <v>4648</v>
      </c>
      <c r="K460">
        <v>29.54</v>
      </c>
      <c r="L460">
        <v>3.3</v>
      </c>
      <c r="M460">
        <v>32.61</v>
      </c>
      <c r="N460">
        <v>4</v>
      </c>
      <c r="O460">
        <v>9</v>
      </c>
      <c r="P460">
        <v>1173.96</v>
      </c>
      <c r="Q460">
        <v>8.25</v>
      </c>
      <c r="R460">
        <v>1165.71</v>
      </c>
      <c r="AC460" s="1">
        <v>41520</v>
      </c>
    </row>
    <row r="461" spans="1:29" x14ac:dyDescent="0.25">
      <c r="A461" t="s">
        <v>317</v>
      </c>
      <c r="D461" t="s">
        <v>1199</v>
      </c>
      <c r="E461" t="s">
        <v>1978</v>
      </c>
      <c r="F461" t="s">
        <v>2081</v>
      </c>
      <c r="G461" t="s">
        <v>2089</v>
      </c>
      <c r="H461" t="s">
        <v>2095</v>
      </c>
      <c r="I461" t="s">
        <v>2103</v>
      </c>
      <c r="J461">
        <v>2267</v>
      </c>
      <c r="K461">
        <v>14.22</v>
      </c>
      <c r="L461">
        <v>1.6</v>
      </c>
      <c r="M461">
        <v>30.38</v>
      </c>
      <c r="N461">
        <v>3</v>
      </c>
      <c r="O461">
        <v>4</v>
      </c>
      <c r="P461">
        <v>364.56</v>
      </c>
      <c r="Q461">
        <v>2.84</v>
      </c>
      <c r="R461">
        <v>361.72</v>
      </c>
      <c r="AC461" s="1">
        <v>41866</v>
      </c>
    </row>
    <row r="462" spans="1:29" x14ac:dyDescent="0.25">
      <c r="A462" t="s">
        <v>425</v>
      </c>
      <c r="D462" t="s">
        <v>1038</v>
      </c>
      <c r="E462" t="s">
        <v>2032</v>
      </c>
      <c r="F462" t="s">
        <v>2073</v>
      </c>
      <c r="G462" t="s">
        <v>2089</v>
      </c>
      <c r="H462" t="s">
        <v>2092</v>
      </c>
      <c r="I462" t="s">
        <v>2105</v>
      </c>
      <c r="J462">
        <v>1827</v>
      </c>
      <c r="K462">
        <v>7.96</v>
      </c>
      <c r="L462">
        <v>2.2000000000000002</v>
      </c>
      <c r="M462">
        <v>10.62</v>
      </c>
      <c r="N462">
        <v>5</v>
      </c>
      <c r="O462">
        <v>11</v>
      </c>
      <c r="P462">
        <v>584.09999999999991</v>
      </c>
      <c r="Q462">
        <v>9.3800000000000008</v>
      </c>
      <c r="R462">
        <v>574.72</v>
      </c>
      <c r="AC462" s="1">
        <v>40298</v>
      </c>
    </row>
    <row r="463" spans="1:29" x14ac:dyDescent="0.25">
      <c r="A463" t="s">
        <v>445</v>
      </c>
      <c r="D463" t="s">
        <v>1443</v>
      </c>
      <c r="E463" t="s">
        <v>2005</v>
      </c>
      <c r="F463" t="s">
        <v>2081</v>
      </c>
      <c r="G463" t="s">
        <v>2089</v>
      </c>
      <c r="H463" t="s">
        <v>2092</v>
      </c>
      <c r="I463" t="s">
        <v>2098</v>
      </c>
      <c r="J463">
        <v>4524</v>
      </c>
      <c r="K463">
        <v>6.36</v>
      </c>
      <c r="L463">
        <v>3.3</v>
      </c>
      <c r="M463">
        <v>16.5</v>
      </c>
      <c r="N463">
        <v>5</v>
      </c>
      <c r="O463">
        <v>16</v>
      </c>
      <c r="P463">
        <v>1320</v>
      </c>
      <c r="Q463">
        <v>1.1499999999999999</v>
      </c>
      <c r="R463">
        <v>1318.85</v>
      </c>
      <c r="AC463" s="1">
        <v>40320</v>
      </c>
    </row>
    <row r="464" spans="1:29" x14ac:dyDescent="0.25">
      <c r="A464" t="s">
        <v>583</v>
      </c>
      <c r="D464" t="s">
        <v>1572</v>
      </c>
      <c r="E464" t="s">
        <v>2029</v>
      </c>
      <c r="F464" t="s">
        <v>2076</v>
      </c>
      <c r="G464" t="s">
        <v>2089</v>
      </c>
      <c r="H464" t="s">
        <v>2092</v>
      </c>
      <c r="I464" t="s">
        <v>2098</v>
      </c>
      <c r="J464">
        <v>2901</v>
      </c>
      <c r="K464">
        <v>33.86</v>
      </c>
      <c r="L464">
        <v>1</v>
      </c>
      <c r="M464">
        <v>14.44</v>
      </c>
      <c r="N464">
        <v>2</v>
      </c>
      <c r="O464">
        <v>12</v>
      </c>
      <c r="P464">
        <v>346.56</v>
      </c>
      <c r="Q464">
        <v>7.58</v>
      </c>
      <c r="R464">
        <v>338.98</v>
      </c>
      <c r="AC464" s="1">
        <v>42883</v>
      </c>
    </row>
    <row r="465" spans="1:29" x14ac:dyDescent="0.25">
      <c r="A465" t="s">
        <v>659</v>
      </c>
      <c r="D465" t="s">
        <v>1643</v>
      </c>
      <c r="E465" t="s">
        <v>2055</v>
      </c>
      <c r="F465" t="s">
        <v>2078</v>
      </c>
      <c r="G465" t="s">
        <v>2089</v>
      </c>
      <c r="H465" t="s">
        <v>2095</v>
      </c>
      <c r="I465" t="s">
        <v>2105</v>
      </c>
      <c r="J465">
        <v>4580</v>
      </c>
      <c r="K465">
        <v>6.33</v>
      </c>
      <c r="L465">
        <v>4</v>
      </c>
      <c r="M465">
        <v>37.96</v>
      </c>
      <c r="N465">
        <v>3</v>
      </c>
      <c r="O465">
        <v>20</v>
      </c>
      <c r="P465">
        <v>2277.6</v>
      </c>
      <c r="Q465">
        <v>5.79</v>
      </c>
      <c r="R465">
        <v>2271.81</v>
      </c>
      <c r="AC465" s="1">
        <v>42566</v>
      </c>
    </row>
    <row r="466" spans="1:29" x14ac:dyDescent="0.25">
      <c r="A466" t="s">
        <v>775</v>
      </c>
      <c r="D466" t="s">
        <v>1751</v>
      </c>
      <c r="E466" t="s">
        <v>2003</v>
      </c>
      <c r="F466" t="s">
        <v>2075</v>
      </c>
      <c r="G466" t="s">
        <v>2089</v>
      </c>
      <c r="H466" t="s">
        <v>2096</v>
      </c>
      <c r="I466" t="s">
        <v>2102</v>
      </c>
      <c r="J466">
        <v>3689</v>
      </c>
      <c r="K466">
        <v>8.18</v>
      </c>
      <c r="L466">
        <v>2.4</v>
      </c>
      <c r="M466">
        <v>16.690000000000001</v>
      </c>
      <c r="N466">
        <v>2</v>
      </c>
      <c r="O466">
        <v>13</v>
      </c>
      <c r="P466">
        <v>433.94000000000005</v>
      </c>
      <c r="Q466">
        <v>6.69</v>
      </c>
      <c r="R466">
        <v>427.25</v>
      </c>
      <c r="AC466" s="1">
        <v>43063</v>
      </c>
    </row>
    <row r="467" spans="1:29" x14ac:dyDescent="0.25">
      <c r="A467" t="s">
        <v>875</v>
      </c>
      <c r="D467" t="s">
        <v>1841</v>
      </c>
      <c r="E467" t="s">
        <v>2049</v>
      </c>
      <c r="F467" t="s">
        <v>2077</v>
      </c>
      <c r="G467" t="s">
        <v>2089</v>
      </c>
      <c r="H467" t="s">
        <v>2092</v>
      </c>
      <c r="I467" t="s">
        <v>2097</v>
      </c>
      <c r="J467">
        <v>3182</v>
      </c>
      <c r="K467">
        <v>15.32</v>
      </c>
      <c r="L467">
        <v>4.5</v>
      </c>
      <c r="M467">
        <v>23.71</v>
      </c>
      <c r="N467">
        <v>4</v>
      </c>
      <c r="O467">
        <v>10</v>
      </c>
      <c r="P467">
        <v>948.40000000000009</v>
      </c>
      <c r="Q467">
        <v>1.02</v>
      </c>
      <c r="R467">
        <v>947.38</v>
      </c>
      <c r="AC467" s="1">
        <v>42777</v>
      </c>
    </row>
    <row r="468" spans="1:29" x14ac:dyDescent="0.25">
      <c r="A468" t="s">
        <v>975</v>
      </c>
      <c r="D468" t="s">
        <v>1934</v>
      </c>
      <c r="E468" t="s">
        <v>1977</v>
      </c>
      <c r="F468" t="s">
        <v>2076</v>
      </c>
      <c r="G468" t="s">
        <v>2089</v>
      </c>
      <c r="H468" t="s">
        <v>2092</v>
      </c>
      <c r="I468" t="s">
        <v>2101</v>
      </c>
      <c r="J468">
        <v>844</v>
      </c>
      <c r="K468">
        <v>9.9600000000000009</v>
      </c>
      <c r="L468">
        <v>4.8</v>
      </c>
      <c r="M468">
        <v>14.67</v>
      </c>
      <c r="N468">
        <v>3</v>
      </c>
      <c r="O468">
        <v>2</v>
      </c>
      <c r="P468">
        <v>88.02</v>
      </c>
      <c r="Q468">
        <v>0.64</v>
      </c>
      <c r="R468">
        <v>87.38</v>
      </c>
      <c r="AC468" s="1">
        <v>43170</v>
      </c>
    </row>
    <row r="469" spans="1:29" x14ac:dyDescent="0.25">
      <c r="A469" t="s">
        <v>21</v>
      </c>
      <c r="D469" t="s">
        <v>1031</v>
      </c>
      <c r="E469" t="s">
        <v>1977</v>
      </c>
      <c r="F469" t="s">
        <v>2074</v>
      </c>
      <c r="G469" t="s">
        <v>2084</v>
      </c>
      <c r="H469" t="s">
        <v>2092</v>
      </c>
      <c r="I469" t="s">
        <v>2101</v>
      </c>
      <c r="J469">
        <v>3774</v>
      </c>
      <c r="K469">
        <v>25.23</v>
      </c>
      <c r="L469">
        <v>1.5</v>
      </c>
      <c r="M469">
        <v>26.01</v>
      </c>
      <c r="N469">
        <v>4</v>
      </c>
      <c r="O469">
        <v>11</v>
      </c>
      <c r="P469">
        <v>1144.44</v>
      </c>
      <c r="Q469">
        <v>0.33</v>
      </c>
      <c r="R469">
        <v>1144.1099999999999</v>
      </c>
      <c r="AC469" s="1">
        <v>42407</v>
      </c>
    </row>
    <row r="470" spans="1:29" x14ac:dyDescent="0.25">
      <c r="A470" t="s">
        <v>184</v>
      </c>
      <c r="D470" t="s">
        <v>1193</v>
      </c>
      <c r="E470" t="s">
        <v>2047</v>
      </c>
      <c r="F470" t="s">
        <v>2077</v>
      </c>
      <c r="G470" t="s">
        <v>2084</v>
      </c>
      <c r="H470" t="s">
        <v>2096</v>
      </c>
      <c r="I470" t="s">
        <v>2100</v>
      </c>
      <c r="J470">
        <v>630</v>
      </c>
      <c r="K470">
        <v>27.79</v>
      </c>
      <c r="L470">
        <v>3.7</v>
      </c>
      <c r="M470">
        <v>12.08</v>
      </c>
      <c r="N470">
        <v>5</v>
      </c>
      <c r="O470">
        <v>9</v>
      </c>
      <c r="P470">
        <v>543.6</v>
      </c>
      <c r="Q470">
        <v>4.8499999999999996</v>
      </c>
      <c r="R470">
        <v>538.75</v>
      </c>
      <c r="AC470" s="1">
        <v>41976</v>
      </c>
    </row>
    <row r="471" spans="1:29" x14ac:dyDescent="0.25">
      <c r="A471" t="s">
        <v>349</v>
      </c>
      <c r="D471" t="s">
        <v>1352</v>
      </c>
      <c r="E471" t="s">
        <v>2018</v>
      </c>
      <c r="F471" t="s">
        <v>2081</v>
      </c>
      <c r="G471" t="s">
        <v>2084</v>
      </c>
      <c r="H471" t="s">
        <v>2095</v>
      </c>
      <c r="I471" t="s">
        <v>2109</v>
      </c>
      <c r="J471">
        <v>971</v>
      </c>
      <c r="K471">
        <v>34.450000000000003</v>
      </c>
      <c r="L471">
        <v>4.2</v>
      </c>
      <c r="M471">
        <v>34.9</v>
      </c>
      <c r="N471">
        <v>1</v>
      </c>
      <c r="O471">
        <v>3</v>
      </c>
      <c r="P471">
        <v>104.69999999999999</v>
      </c>
      <c r="Q471">
        <v>6.2</v>
      </c>
      <c r="R471">
        <v>98.5</v>
      </c>
      <c r="AC471" s="1">
        <v>43021</v>
      </c>
    </row>
    <row r="472" spans="1:29" x14ac:dyDescent="0.25">
      <c r="A472" t="s">
        <v>356</v>
      </c>
      <c r="D472" t="s">
        <v>1283</v>
      </c>
      <c r="E472" t="s">
        <v>1987</v>
      </c>
      <c r="F472" t="s">
        <v>2082</v>
      </c>
      <c r="G472" t="s">
        <v>2084</v>
      </c>
      <c r="H472" t="s">
        <v>2093</v>
      </c>
      <c r="I472" t="s">
        <v>2104</v>
      </c>
      <c r="J472">
        <v>525</v>
      </c>
      <c r="K472">
        <v>37.53</v>
      </c>
      <c r="L472">
        <v>2.2000000000000002</v>
      </c>
      <c r="M472">
        <v>20.03</v>
      </c>
      <c r="N472">
        <v>3</v>
      </c>
      <c r="O472">
        <v>17</v>
      </c>
      <c r="P472">
        <v>1021.5300000000001</v>
      </c>
      <c r="Q472">
        <v>6.44</v>
      </c>
      <c r="R472">
        <v>1015.09</v>
      </c>
      <c r="AC472" s="1">
        <v>43251</v>
      </c>
    </row>
    <row r="473" spans="1:29" x14ac:dyDescent="0.25">
      <c r="A473" t="s">
        <v>379</v>
      </c>
      <c r="D473" t="s">
        <v>1380</v>
      </c>
      <c r="E473" t="s">
        <v>2045</v>
      </c>
      <c r="F473" t="s">
        <v>2080</v>
      </c>
      <c r="G473" t="s">
        <v>2084</v>
      </c>
      <c r="H473" t="s">
        <v>2095</v>
      </c>
      <c r="I473" t="s">
        <v>2109</v>
      </c>
      <c r="J473">
        <v>263</v>
      </c>
      <c r="K473">
        <v>36.76</v>
      </c>
      <c r="L473">
        <v>4.2</v>
      </c>
      <c r="M473">
        <v>11.58</v>
      </c>
      <c r="N473">
        <v>1</v>
      </c>
      <c r="O473">
        <v>1</v>
      </c>
      <c r="P473">
        <v>11.58</v>
      </c>
      <c r="Q473">
        <v>3.13</v>
      </c>
      <c r="R473">
        <v>8.4499999999999993</v>
      </c>
      <c r="AC473" s="1">
        <v>40191</v>
      </c>
    </row>
    <row r="474" spans="1:29" x14ac:dyDescent="0.25">
      <c r="A474" t="s">
        <v>390</v>
      </c>
      <c r="D474" t="s">
        <v>1391</v>
      </c>
      <c r="E474" t="s">
        <v>1989</v>
      </c>
      <c r="F474" t="s">
        <v>2077</v>
      </c>
      <c r="G474" t="s">
        <v>2084</v>
      </c>
      <c r="H474" t="s">
        <v>2094</v>
      </c>
      <c r="I474" t="s">
        <v>2097</v>
      </c>
      <c r="J474">
        <v>453</v>
      </c>
      <c r="K474">
        <v>41.85</v>
      </c>
      <c r="L474">
        <v>3.6</v>
      </c>
      <c r="M474">
        <v>6.67</v>
      </c>
      <c r="N474">
        <v>4</v>
      </c>
      <c r="O474">
        <v>6</v>
      </c>
      <c r="P474">
        <v>160.07999999999998</v>
      </c>
      <c r="Q474">
        <v>8.39</v>
      </c>
      <c r="R474">
        <v>151.69</v>
      </c>
      <c r="AC474" s="1">
        <v>40495</v>
      </c>
    </row>
    <row r="475" spans="1:29" x14ac:dyDescent="0.25">
      <c r="A475" t="s">
        <v>397</v>
      </c>
      <c r="D475" t="s">
        <v>1397</v>
      </c>
      <c r="E475" t="s">
        <v>2049</v>
      </c>
      <c r="F475" t="s">
        <v>2073</v>
      </c>
      <c r="G475" t="s">
        <v>2084</v>
      </c>
      <c r="H475" t="s">
        <v>2096</v>
      </c>
      <c r="I475" t="s">
        <v>2110</v>
      </c>
      <c r="J475">
        <v>185</v>
      </c>
      <c r="K475">
        <v>27.8</v>
      </c>
      <c r="L475">
        <v>3.6</v>
      </c>
      <c r="M475">
        <v>34.01</v>
      </c>
      <c r="N475">
        <v>5</v>
      </c>
      <c r="O475">
        <v>8</v>
      </c>
      <c r="P475">
        <v>1360.3999999999999</v>
      </c>
      <c r="Q475">
        <v>1.17</v>
      </c>
      <c r="R475">
        <v>1359.23</v>
      </c>
      <c r="AC475" s="1">
        <v>40629</v>
      </c>
    </row>
    <row r="476" spans="1:29" x14ac:dyDescent="0.25">
      <c r="A476" t="s">
        <v>462</v>
      </c>
      <c r="D476" t="s">
        <v>1460</v>
      </c>
      <c r="E476" t="s">
        <v>2017</v>
      </c>
      <c r="F476" t="s">
        <v>2075</v>
      </c>
      <c r="G476" t="s">
        <v>2084</v>
      </c>
      <c r="H476" t="s">
        <v>2092</v>
      </c>
      <c r="I476" t="s">
        <v>2102</v>
      </c>
      <c r="J476">
        <v>2347</v>
      </c>
      <c r="K476">
        <v>38.590000000000003</v>
      </c>
      <c r="L476">
        <v>4.2</v>
      </c>
      <c r="M476">
        <v>22.93</v>
      </c>
      <c r="N476">
        <v>5</v>
      </c>
      <c r="O476">
        <v>6</v>
      </c>
      <c r="P476">
        <v>687.90000000000009</v>
      </c>
      <c r="Q476">
        <v>2.54</v>
      </c>
      <c r="R476">
        <v>685.36</v>
      </c>
      <c r="AC476" s="1">
        <v>41867</v>
      </c>
    </row>
    <row r="477" spans="1:29" x14ac:dyDescent="0.25">
      <c r="A477" t="s">
        <v>566</v>
      </c>
      <c r="D477" t="s">
        <v>1558</v>
      </c>
      <c r="E477" t="s">
        <v>1993</v>
      </c>
      <c r="F477" t="s">
        <v>2074</v>
      </c>
      <c r="G477" t="s">
        <v>2084</v>
      </c>
      <c r="H477" t="s">
        <v>2096</v>
      </c>
      <c r="I477" t="s">
        <v>2098</v>
      </c>
      <c r="J477">
        <v>2700</v>
      </c>
      <c r="K477">
        <v>18.27</v>
      </c>
      <c r="L477">
        <v>3.6</v>
      </c>
      <c r="M477">
        <v>12.45</v>
      </c>
      <c r="N477">
        <v>5</v>
      </c>
      <c r="O477">
        <v>7</v>
      </c>
      <c r="P477">
        <v>435.75</v>
      </c>
      <c r="Q477">
        <v>0.05</v>
      </c>
      <c r="R477">
        <v>435.7</v>
      </c>
      <c r="AC477" s="1">
        <v>40438</v>
      </c>
    </row>
    <row r="478" spans="1:29" x14ac:dyDescent="0.25">
      <c r="A478" t="s">
        <v>617</v>
      </c>
      <c r="D478" t="s">
        <v>1603</v>
      </c>
      <c r="E478" t="s">
        <v>1977</v>
      </c>
      <c r="F478" t="s">
        <v>2076</v>
      </c>
      <c r="G478" t="s">
        <v>2084</v>
      </c>
      <c r="H478" t="s">
        <v>2096</v>
      </c>
      <c r="I478" t="s">
        <v>2110</v>
      </c>
      <c r="J478">
        <v>1250</v>
      </c>
      <c r="K478">
        <v>9.83</v>
      </c>
      <c r="L478">
        <v>4.5</v>
      </c>
      <c r="M478">
        <v>27.03</v>
      </c>
      <c r="N478">
        <v>1</v>
      </c>
      <c r="O478">
        <v>4</v>
      </c>
      <c r="P478">
        <v>108.12</v>
      </c>
      <c r="Q478">
        <v>8.59</v>
      </c>
      <c r="R478">
        <v>99.53</v>
      </c>
      <c r="AC478" s="1">
        <v>43228</v>
      </c>
    </row>
    <row r="479" spans="1:29" x14ac:dyDescent="0.25">
      <c r="A479" t="s">
        <v>770</v>
      </c>
      <c r="D479" t="s">
        <v>1746</v>
      </c>
      <c r="E479" t="s">
        <v>2058</v>
      </c>
      <c r="F479" t="s">
        <v>2081</v>
      </c>
      <c r="G479" t="s">
        <v>2084</v>
      </c>
      <c r="H479" t="s">
        <v>2093</v>
      </c>
      <c r="I479" t="s">
        <v>2107</v>
      </c>
      <c r="J479">
        <v>3360</v>
      </c>
      <c r="K479">
        <v>18.309999999999999</v>
      </c>
      <c r="L479">
        <v>4.0999999999999996</v>
      </c>
      <c r="M479">
        <v>20.32</v>
      </c>
      <c r="N479">
        <v>5</v>
      </c>
      <c r="O479">
        <v>12</v>
      </c>
      <c r="P479">
        <v>1219.1999999999998</v>
      </c>
      <c r="Q479">
        <v>5.0999999999999996</v>
      </c>
      <c r="R479">
        <v>1214.0999999999999</v>
      </c>
      <c r="AC479" s="1">
        <v>41365</v>
      </c>
    </row>
    <row r="480" spans="1:29" x14ac:dyDescent="0.25">
      <c r="A480" t="s">
        <v>793</v>
      </c>
      <c r="D480" t="s">
        <v>1767</v>
      </c>
      <c r="E480" t="s">
        <v>2040</v>
      </c>
      <c r="F480" t="s">
        <v>2076</v>
      </c>
      <c r="G480" t="s">
        <v>2084</v>
      </c>
      <c r="H480" t="s">
        <v>2093</v>
      </c>
      <c r="I480" t="s">
        <v>2101</v>
      </c>
      <c r="J480">
        <v>3248</v>
      </c>
      <c r="K480">
        <v>18.79</v>
      </c>
      <c r="L480">
        <v>1.5</v>
      </c>
      <c r="M480">
        <v>16.809999999999999</v>
      </c>
      <c r="N480">
        <v>5</v>
      </c>
      <c r="O480">
        <v>20</v>
      </c>
      <c r="P480">
        <v>1681</v>
      </c>
      <c r="Q480">
        <v>1.82</v>
      </c>
      <c r="R480">
        <v>1679.18</v>
      </c>
      <c r="AC480" s="1">
        <v>40350</v>
      </c>
    </row>
    <row r="481" spans="1:29" x14ac:dyDescent="0.25">
      <c r="A481" t="s">
        <v>798</v>
      </c>
      <c r="D481" t="s">
        <v>1772</v>
      </c>
      <c r="E481" t="s">
        <v>2049</v>
      </c>
      <c r="F481" t="s">
        <v>2074</v>
      </c>
      <c r="G481" t="s">
        <v>2084</v>
      </c>
      <c r="H481" t="s">
        <v>2096</v>
      </c>
      <c r="I481" t="s">
        <v>2097</v>
      </c>
      <c r="J481">
        <v>4055</v>
      </c>
      <c r="K481">
        <v>41.71</v>
      </c>
      <c r="L481">
        <v>3</v>
      </c>
      <c r="M481">
        <v>18.91</v>
      </c>
      <c r="N481">
        <v>1</v>
      </c>
      <c r="O481">
        <v>2</v>
      </c>
      <c r="P481">
        <v>37.82</v>
      </c>
      <c r="Q481">
        <v>3.2</v>
      </c>
      <c r="R481">
        <v>34.619999999999997</v>
      </c>
      <c r="AC481" s="1">
        <v>40483</v>
      </c>
    </row>
    <row r="482" spans="1:29" x14ac:dyDescent="0.25">
      <c r="A482" t="s">
        <v>916</v>
      </c>
      <c r="D482" t="s">
        <v>1881</v>
      </c>
      <c r="E482" t="s">
        <v>2020</v>
      </c>
      <c r="F482" t="s">
        <v>2080</v>
      </c>
      <c r="G482" t="s">
        <v>2084</v>
      </c>
      <c r="H482" t="s">
        <v>2092</v>
      </c>
      <c r="I482" t="s">
        <v>2105</v>
      </c>
      <c r="J482">
        <v>3759</v>
      </c>
      <c r="K482">
        <v>37.729999999999997</v>
      </c>
      <c r="L482">
        <v>4.2</v>
      </c>
      <c r="M482">
        <v>12.72</v>
      </c>
      <c r="N482">
        <v>4</v>
      </c>
      <c r="O482">
        <v>14</v>
      </c>
      <c r="P482">
        <v>712.32</v>
      </c>
      <c r="Q482">
        <v>0.39</v>
      </c>
      <c r="R482">
        <v>711.93</v>
      </c>
      <c r="AC482" s="1">
        <v>43003</v>
      </c>
    </row>
    <row r="483" spans="1:29" x14ac:dyDescent="0.25">
      <c r="A483" t="s">
        <v>973</v>
      </c>
      <c r="D483" t="s">
        <v>1932</v>
      </c>
      <c r="E483" t="s">
        <v>2024</v>
      </c>
      <c r="F483" t="s">
        <v>2078</v>
      </c>
      <c r="G483" t="s">
        <v>2084</v>
      </c>
      <c r="H483" t="s">
        <v>2096</v>
      </c>
      <c r="I483" t="s">
        <v>2110</v>
      </c>
      <c r="J483">
        <v>3217</v>
      </c>
      <c r="K483">
        <v>44.54</v>
      </c>
      <c r="L483">
        <v>3</v>
      </c>
      <c r="M483">
        <v>35.74</v>
      </c>
      <c r="N483">
        <v>2</v>
      </c>
      <c r="O483">
        <v>15</v>
      </c>
      <c r="P483">
        <v>1072.2</v>
      </c>
      <c r="Q483">
        <v>2.15</v>
      </c>
      <c r="R483">
        <v>1070.05</v>
      </c>
      <c r="AC483" s="1">
        <v>40247</v>
      </c>
    </row>
    <row r="484" spans="1:29" x14ac:dyDescent="0.25">
      <c r="A484" t="s">
        <v>1008</v>
      </c>
      <c r="D484" t="s">
        <v>1965</v>
      </c>
      <c r="E484" t="s">
        <v>1986</v>
      </c>
      <c r="F484" t="s">
        <v>2074</v>
      </c>
      <c r="G484" t="s">
        <v>2084</v>
      </c>
      <c r="H484" t="s">
        <v>2096</v>
      </c>
      <c r="I484" t="s">
        <v>2098</v>
      </c>
      <c r="J484">
        <v>3160</v>
      </c>
      <c r="K484">
        <v>26.39</v>
      </c>
      <c r="L484">
        <v>3.4</v>
      </c>
      <c r="M484">
        <v>5.46</v>
      </c>
      <c r="N484">
        <v>4</v>
      </c>
      <c r="O484">
        <v>14</v>
      </c>
      <c r="P484">
        <v>305.76</v>
      </c>
      <c r="Q484">
        <v>8.7799999999999994</v>
      </c>
      <c r="R484">
        <v>296.98</v>
      </c>
      <c r="AC484" s="1">
        <v>42081</v>
      </c>
    </row>
    <row r="485" spans="1:29" x14ac:dyDescent="0.25">
      <c r="A485" t="s">
        <v>206</v>
      </c>
      <c r="D485" t="s">
        <v>1215</v>
      </c>
      <c r="E485" t="s">
        <v>1976</v>
      </c>
      <c r="F485" t="s">
        <v>2080</v>
      </c>
      <c r="G485" t="s">
        <v>2090</v>
      </c>
      <c r="H485" t="s">
        <v>2095</v>
      </c>
      <c r="I485" t="s">
        <v>2099</v>
      </c>
      <c r="J485">
        <v>3880</v>
      </c>
      <c r="K485">
        <v>24.73</v>
      </c>
      <c r="L485">
        <v>3.6</v>
      </c>
      <c r="M485">
        <v>12.81</v>
      </c>
      <c r="N485">
        <v>4</v>
      </c>
      <c r="O485">
        <v>10</v>
      </c>
      <c r="P485">
        <v>512.4</v>
      </c>
      <c r="Q485">
        <v>5.79</v>
      </c>
      <c r="R485">
        <v>506.61</v>
      </c>
      <c r="AC485" s="1">
        <v>40810</v>
      </c>
    </row>
    <row r="486" spans="1:29" x14ac:dyDescent="0.25">
      <c r="A486" t="s">
        <v>654</v>
      </c>
      <c r="D486" t="s">
        <v>1638</v>
      </c>
      <c r="E486" t="s">
        <v>2024</v>
      </c>
      <c r="F486" t="s">
        <v>2076</v>
      </c>
      <c r="G486" t="s">
        <v>2090</v>
      </c>
      <c r="H486" t="s">
        <v>2093</v>
      </c>
      <c r="I486" t="s">
        <v>2098</v>
      </c>
      <c r="J486">
        <v>3700</v>
      </c>
      <c r="K486">
        <v>8.84</v>
      </c>
      <c r="L486">
        <v>2.1</v>
      </c>
      <c r="M486">
        <v>12.72</v>
      </c>
      <c r="N486">
        <v>4</v>
      </c>
      <c r="O486">
        <v>15</v>
      </c>
      <c r="P486">
        <v>763.2</v>
      </c>
      <c r="Q486">
        <v>3.73</v>
      </c>
      <c r="R486">
        <v>759.47</v>
      </c>
      <c r="AC486" s="1">
        <v>41487</v>
      </c>
    </row>
    <row r="487" spans="1:29" x14ac:dyDescent="0.25">
      <c r="A487" t="s">
        <v>823</v>
      </c>
      <c r="D487" t="s">
        <v>1794</v>
      </c>
      <c r="E487" t="s">
        <v>2060</v>
      </c>
      <c r="F487" t="s">
        <v>2074</v>
      </c>
      <c r="G487" t="s">
        <v>2090</v>
      </c>
      <c r="H487" t="s">
        <v>2092</v>
      </c>
      <c r="I487" t="s">
        <v>2101</v>
      </c>
      <c r="J487">
        <v>1666</v>
      </c>
      <c r="K487">
        <v>18.41</v>
      </c>
      <c r="L487">
        <v>4.5999999999999996</v>
      </c>
      <c r="M487">
        <v>31.22</v>
      </c>
      <c r="N487">
        <v>2</v>
      </c>
      <c r="O487">
        <v>7</v>
      </c>
      <c r="P487">
        <v>437.08</v>
      </c>
      <c r="Q487">
        <v>4.09</v>
      </c>
      <c r="R487">
        <v>432.99</v>
      </c>
      <c r="AC487" s="1">
        <v>40334</v>
      </c>
    </row>
    <row r="488" spans="1:29" x14ac:dyDescent="0.25">
      <c r="A488" t="s">
        <v>966</v>
      </c>
      <c r="D488" t="s">
        <v>1926</v>
      </c>
      <c r="E488" t="s">
        <v>2012</v>
      </c>
      <c r="F488" t="s">
        <v>2078</v>
      </c>
      <c r="G488" t="s">
        <v>2090</v>
      </c>
      <c r="H488" t="s">
        <v>2095</v>
      </c>
      <c r="I488" t="s">
        <v>2100</v>
      </c>
      <c r="J488">
        <v>4727</v>
      </c>
      <c r="K488">
        <v>19.850000000000001</v>
      </c>
      <c r="L488">
        <v>2.5</v>
      </c>
      <c r="M488">
        <v>28.05</v>
      </c>
      <c r="N488">
        <v>2</v>
      </c>
      <c r="O488">
        <v>5</v>
      </c>
      <c r="P488">
        <v>280.5</v>
      </c>
      <c r="Q488">
        <v>5.66</v>
      </c>
      <c r="R488">
        <v>274.83999999999997</v>
      </c>
      <c r="AC488" s="1">
        <v>42914</v>
      </c>
    </row>
    <row r="489" spans="1:29" x14ac:dyDescent="0.25">
      <c r="A489" t="s">
        <v>987</v>
      </c>
      <c r="D489" t="s">
        <v>1946</v>
      </c>
      <c r="E489" t="s">
        <v>2022</v>
      </c>
      <c r="F489" t="s">
        <v>2078</v>
      </c>
      <c r="G489" t="s">
        <v>2090</v>
      </c>
      <c r="H489" t="s">
        <v>2096</v>
      </c>
      <c r="I489" t="s">
        <v>2108</v>
      </c>
      <c r="J489">
        <v>1820</v>
      </c>
      <c r="K489">
        <v>32.76</v>
      </c>
      <c r="L489">
        <v>2.1</v>
      </c>
      <c r="M489">
        <v>12.9</v>
      </c>
      <c r="N489">
        <v>4</v>
      </c>
      <c r="O489">
        <v>19</v>
      </c>
      <c r="P489">
        <v>980.4</v>
      </c>
      <c r="Q489">
        <v>5.9</v>
      </c>
      <c r="R489">
        <v>974.5</v>
      </c>
      <c r="AC489" s="1">
        <v>41967</v>
      </c>
    </row>
    <row r="490" spans="1:29" x14ac:dyDescent="0.25">
      <c r="A490" t="s">
        <v>999</v>
      </c>
      <c r="D490" t="s">
        <v>1957</v>
      </c>
      <c r="E490" t="s">
        <v>1985</v>
      </c>
      <c r="F490" t="s">
        <v>2079</v>
      </c>
      <c r="G490" t="s">
        <v>2090</v>
      </c>
      <c r="H490" t="s">
        <v>2094</v>
      </c>
      <c r="I490" t="s">
        <v>2100</v>
      </c>
      <c r="J490">
        <v>4297</v>
      </c>
      <c r="K490">
        <v>49.84</v>
      </c>
      <c r="L490">
        <v>1.2</v>
      </c>
      <c r="M490">
        <v>9.75</v>
      </c>
      <c r="N490">
        <v>4</v>
      </c>
      <c r="O490">
        <v>3</v>
      </c>
      <c r="P490">
        <v>117</v>
      </c>
      <c r="Q490">
        <v>1.53</v>
      </c>
      <c r="R490">
        <v>115.47</v>
      </c>
      <c r="AC490" s="1">
        <v>42668</v>
      </c>
    </row>
    <row r="491" spans="1:29" x14ac:dyDescent="0.25">
      <c r="A491" t="s">
        <v>1003</v>
      </c>
      <c r="D491" t="s">
        <v>1961</v>
      </c>
      <c r="E491" t="s">
        <v>2051</v>
      </c>
      <c r="F491" t="s">
        <v>2078</v>
      </c>
      <c r="G491" t="s">
        <v>2090</v>
      </c>
      <c r="H491" t="s">
        <v>2094</v>
      </c>
      <c r="I491" t="s">
        <v>2103</v>
      </c>
      <c r="J491">
        <v>600</v>
      </c>
      <c r="K491">
        <v>36.49</v>
      </c>
      <c r="L491">
        <v>2.5</v>
      </c>
      <c r="M491">
        <v>30.69</v>
      </c>
      <c r="N491">
        <v>4</v>
      </c>
      <c r="O491">
        <v>4</v>
      </c>
      <c r="P491">
        <v>491.04</v>
      </c>
      <c r="Q491">
        <v>9.1</v>
      </c>
      <c r="R491">
        <v>481.94</v>
      </c>
      <c r="AC491" s="1">
        <v>40700</v>
      </c>
    </row>
    <row r="492" spans="1:29" x14ac:dyDescent="0.25">
      <c r="A492" t="s">
        <v>17</v>
      </c>
      <c r="D492" t="s">
        <v>1027</v>
      </c>
      <c r="E492" t="s">
        <v>1973</v>
      </c>
      <c r="F492" t="s">
        <v>2073</v>
      </c>
      <c r="G492" t="s">
        <v>2083</v>
      </c>
      <c r="H492" t="s">
        <v>2092</v>
      </c>
      <c r="I492" t="s">
        <v>2097</v>
      </c>
      <c r="J492">
        <v>4400</v>
      </c>
      <c r="K492">
        <v>5.03</v>
      </c>
      <c r="L492">
        <v>4</v>
      </c>
      <c r="M492">
        <v>9.0500000000000007</v>
      </c>
      <c r="N492">
        <v>2</v>
      </c>
      <c r="O492">
        <v>12</v>
      </c>
      <c r="P492">
        <v>217.20000000000002</v>
      </c>
      <c r="Q492">
        <v>4.8099999999999996</v>
      </c>
      <c r="R492">
        <v>212.39</v>
      </c>
      <c r="AC492" s="1">
        <v>41093</v>
      </c>
    </row>
    <row r="493" spans="1:29" x14ac:dyDescent="0.25">
      <c r="A493" t="s">
        <v>76</v>
      </c>
      <c r="D493" t="s">
        <v>1086</v>
      </c>
      <c r="E493" t="s">
        <v>2013</v>
      </c>
      <c r="F493" t="s">
        <v>2081</v>
      </c>
      <c r="G493" t="s">
        <v>2083</v>
      </c>
      <c r="H493" t="s">
        <v>2095</v>
      </c>
      <c r="I493" t="s">
        <v>2102</v>
      </c>
      <c r="J493">
        <v>982</v>
      </c>
      <c r="K493">
        <v>27.05</v>
      </c>
      <c r="L493">
        <v>1.5</v>
      </c>
      <c r="M493">
        <v>6.4</v>
      </c>
      <c r="N493">
        <v>4</v>
      </c>
      <c r="O493">
        <v>19</v>
      </c>
      <c r="P493">
        <v>486.40000000000003</v>
      </c>
      <c r="Q493">
        <v>1.88</v>
      </c>
      <c r="R493">
        <v>484.52</v>
      </c>
      <c r="AC493" s="1">
        <v>43438</v>
      </c>
    </row>
    <row r="494" spans="1:29" x14ac:dyDescent="0.25">
      <c r="A494" t="s">
        <v>200</v>
      </c>
      <c r="D494" t="s">
        <v>1209</v>
      </c>
      <c r="E494" t="s">
        <v>2055</v>
      </c>
      <c r="F494" t="s">
        <v>2074</v>
      </c>
      <c r="G494" t="s">
        <v>2083</v>
      </c>
      <c r="H494" t="s">
        <v>2096</v>
      </c>
      <c r="I494" t="s">
        <v>2103</v>
      </c>
      <c r="J494">
        <v>4818</v>
      </c>
      <c r="K494">
        <v>33.659999999999997</v>
      </c>
      <c r="L494">
        <v>3.8</v>
      </c>
      <c r="M494">
        <v>28.66</v>
      </c>
      <c r="N494">
        <v>5</v>
      </c>
      <c r="O494">
        <v>16</v>
      </c>
      <c r="P494">
        <v>2292.8000000000002</v>
      </c>
      <c r="Q494">
        <v>0.98</v>
      </c>
      <c r="R494">
        <v>2291.8200000000002</v>
      </c>
      <c r="AC494" s="1">
        <v>43163</v>
      </c>
    </row>
    <row r="495" spans="1:29" x14ac:dyDescent="0.25">
      <c r="A495" t="s">
        <v>302</v>
      </c>
      <c r="D495" t="s">
        <v>1307</v>
      </c>
      <c r="E495" t="s">
        <v>2020</v>
      </c>
      <c r="F495" t="s">
        <v>2081</v>
      </c>
      <c r="G495" t="s">
        <v>2083</v>
      </c>
      <c r="H495" t="s">
        <v>2093</v>
      </c>
      <c r="I495" t="s">
        <v>2107</v>
      </c>
      <c r="J495">
        <v>2937</v>
      </c>
      <c r="K495">
        <v>24.94</v>
      </c>
      <c r="L495">
        <v>2.2999999999999998</v>
      </c>
      <c r="M495">
        <v>17.39</v>
      </c>
      <c r="N495">
        <v>4</v>
      </c>
      <c r="O495">
        <v>8</v>
      </c>
      <c r="P495">
        <v>556.48</v>
      </c>
      <c r="Q495">
        <v>5.21</v>
      </c>
      <c r="R495">
        <v>551.27</v>
      </c>
      <c r="AC495" s="1">
        <v>42557</v>
      </c>
    </row>
    <row r="496" spans="1:29" x14ac:dyDescent="0.25">
      <c r="A496" t="s">
        <v>342</v>
      </c>
      <c r="D496" t="s">
        <v>1345</v>
      </c>
      <c r="E496" t="s">
        <v>2002</v>
      </c>
      <c r="F496" t="s">
        <v>2080</v>
      </c>
      <c r="G496" t="s">
        <v>2083</v>
      </c>
      <c r="H496" t="s">
        <v>2096</v>
      </c>
      <c r="I496" t="s">
        <v>2109</v>
      </c>
      <c r="J496">
        <v>4744</v>
      </c>
      <c r="K496">
        <v>14.78</v>
      </c>
      <c r="L496">
        <v>4</v>
      </c>
      <c r="M496">
        <v>31.9</v>
      </c>
      <c r="N496">
        <v>4</v>
      </c>
      <c r="O496">
        <v>13</v>
      </c>
      <c r="P496">
        <v>1658.8</v>
      </c>
      <c r="Q496">
        <v>2.21</v>
      </c>
      <c r="R496">
        <v>1656.59</v>
      </c>
      <c r="AC496" s="1">
        <v>43444</v>
      </c>
    </row>
    <row r="497" spans="1:29" x14ac:dyDescent="0.25">
      <c r="A497" t="s">
        <v>372</v>
      </c>
      <c r="D497" t="s">
        <v>1374</v>
      </c>
      <c r="E497" t="s">
        <v>2063</v>
      </c>
      <c r="F497" t="s">
        <v>2077</v>
      </c>
      <c r="G497" t="s">
        <v>2083</v>
      </c>
      <c r="H497" t="s">
        <v>2094</v>
      </c>
      <c r="I497" t="s">
        <v>2111</v>
      </c>
      <c r="J497">
        <v>4776</v>
      </c>
      <c r="K497">
        <v>39.79</v>
      </c>
      <c r="L497">
        <v>4.5</v>
      </c>
      <c r="M497">
        <v>23.66</v>
      </c>
      <c r="N497">
        <v>3</v>
      </c>
      <c r="O497">
        <v>3</v>
      </c>
      <c r="P497">
        <v>212.94</v>
      </c>
      <c r="Q497">
        <v>4.28</v>
      </c>
      <c r="R497">
        <v>208.66</v>
      </c>
      <c r="AC497" s="1">
        <v>42597</v>
      </c>
    </row>
    <row r="498" spans="1:29" x14ac:dyDescent="0.25">
      <c r="A498" t="s">
        <v>389</v>
      </c>
      <c r="D498" t="s">
        <v>1390</v>
      </c>
      <c r="E498" t="s">
        <v>2020</v>
      </c>
      <c r="F498" t="s">
        <v>2078</v>
      </c>
      <c r="G498" t="s">
        <v>2083</v>
      </c>
      <c r="H498" t="s">
        <v>2096</v>
      </c>
      <c r="I498" t="s">
        <v>2101</v>
      </c>
      <c r="J498">
        <v>4599</v>
      </c>
      <c r="K498">
        <v>30.75</v>
      </c>
      <c r="L498">
        <v>3.9</v>
      </c>
      <c r="M498">
        <v>15.76</v>
      </c>
      <c r="N498">
        <v>3</v>
      </c>
      <c r="O498">
        <v>20</v>
      </c>
      <c r="P498">
        <v>945.6</v>
      </c>
      <c r="Q498">
        <v>0.13</v>
      </c>
      <c r="R498">
        <v>945.47</v>
      </c>
      <c r="AC498" s="1">
        <v>40795</v>
      </c>
    </row>
    <row r="499" spans="1:29" x14ac:dyDescent="0.25">
      <c r="A499" t="s">
        <v>519</v>
      </c>
      <c r="D499" t="s">
        <v>1514</v>
      </c>
      <c r="E499" t="s">
        <v>2040</v>
      </c>
      <c r="F499" t="s">
        <v>2075</v>
      </c>
      <c r="G499" t="s">
        <v>2083</v>
      </c>
      <c r="H499" t="s">
        <v>2092</v>
      </c>
      <c r="I499" t="s">
        <v>2100</v>
      </c>
      <c r="J499">
        <v>4543</v>
      </c>
      <c r="K499">
        <v>44.44</v>
      </c>
      <c r="L499">
        <v>2.2000000000000002</v>
      </c>
      <c r="M499">
        <v>25.39</v>
      </c>
      <c r="N499">
        <v>2</v>
      </c>
      <c r="O499">
        <v>12</v>
      </c>
      <c r="P499">
        <v>609.36</v>
      </c>
      <c r="Q499">
        <v>7.63</v>
      </c>
      <c r="R499">
        <v>601.73</v>
      </c>
      <c r="AC499" s="1">
        <v>42680</v>
      </c>
    </row>
    <row r="500" spans="1:29" x14ac:dyDescent="0.25">
      <c r="A500" t="s">
        <v>581</v>
      </c>
      <c r="D500" t="s">
        <v>1571</v>
      </c>
      <c r="E500" t="s">
        <v>1992</v>
      </c>
      <c r="F500" t="s">
        <v>2073</v>
      </c>
      <c r="G500" t="s">
        <v>2083</v>
      </c>
      <c r="H500" t="s">
        <v>2095</v>
      </c>
      <c r="I500" t="s">
        <v>2100</v>
      </c>
      <c r="J500">
        <v>2591</v>
      </c>
      <c r="K500">
        <v>21.37</v>
      </c>
      <c r="L500">
        <v>1.2</v>
      </c>
      <c r="M500">
        <v>18.79</v>
      </c>
      <c r="N500">
        <v>2</v>
      </c>
      <c r="O500">
        <v>4</v>
      </c>
      <c r="P500">
        <v>150.32</v>
      </c>
      <c r="Q500">
        <v>4.75</v>
      </c>
      <c r="R500">
        <v>145.57</v>
      </c>
      <c r="AC500" s="1">
        <v>42849</v>
      </c>
    </row>
    <row r="501" spans="1:29" x14ac:dyDescent="0.25">
      <c r="A501" t="s">
        <v>640</v>
      </c>
      <c r="D501" t="s">
        <v>1625</v>
      </c>
      <c r="E501" t="s">
        <v>2019</v>
      </c>
      <c r="F501" t="s">
        <v>2080</v>
      </c>
      <c r="G501" t="s">
        <v>2083</v>
      </c>
      <c r="H501" t="s">
        <v>2095</v>
      </c>
      <c r="I501" t="s">
        <v>2097</v>
      </c>
      <c r="J501">
        <v>3574</v>
      </c>
      <c r="K501">
        <v>48</v>
      </c>
      <c r="L501">
        <v>2.8</v>
      </c>
      <c r="M501">
        <v>15.25</v>
      </c>
      <c r="N501">
        <v>1</v>
      </c>
      <c r="O501">
        <v>7</v>
      </c>
      <c r="P501">
        <v>106.75</v>
      </c>
      <c r="Q501">
        <v>3.52</v>
      </c>
      <c r="R501">
        <v>103.23</v>
      </c>
      <c r="AC501" s="1">
        <v>42338</v>
      </c>
    </row>
    <row r="502" spans="1:29" x14ac:dyDescent="0.25">
      <c r="A502" t="s">
        <v>849</v>
      </c>
      <c r="D502" t="s">
        <v>1816</v>
      </c>
      <c r="E502" t="s">
        <v>2055</v>
      </c>
      <c r="F502" t="s">
        <v>2077</v>
      </c>
      <c r="G502" t="s">
        <v>2083</v>
      </c>
      <c r="H502" t="s">
        <v>2093</v>
      </c>
      <c r="I502" t="s">
        <v>2097</v>
      </c>
      <c r="J502">
        <v>2198</v>
      </c>
      <c r="K502">
        <v>15.19</v>
      </c>
      <c r="L502">
        <v>5</v>
      </c>
      <c r="M502">
        <v>19.89</v>
      </c>
      <c r="N502">
        <v>4</v>
      </c>
      <c r="O502">
        <v>18</v>
      </c>
      <c r="P502">
        <v>1432.08</v>
      </c>
      <c r="Q502">
        <v>9.32</v>
      </c>
      <c r="R502">
        <v>1422.76</v>
      </c>
      <c r="AC502" s="1">
        <v>40505</v>
      </c>
    </row>
    <row r="503" spans="1:29" x14ac:dyDescent="0.25">
      <c r="A503" t="s">
        <v>71</v>
      </c>
      <c r="D503" t="s">
        <v>1081</v>
      </c>
      <c r="E503" t="s">
        <v>1990</v>
      </c>
      <c r="F503" t="s">
        <v>2080</v>
      </c>
      <c r="G503" t="s">
        <v>2087</v>
      </c>
      <c r="H503" t="s">
        <v>2094</v>
      </c>
      <c r="I503" t="s">
        <v>2103</v>
      </c>
      <c r="J503">
        <v>4628</v>
      </c>
      <c r="K503">
        <v>24.02</v>
      </c>
      <c r="L503">
        <v>3.7</v>
      </c>
      <c r="M503">
        <v>6.42</v>
      </c>
      <c r="N503">
        <v>5</v>
      </c>
      <c r="O503">
        <v>3</v>
      </c>
      <c r="P503">
        <v>96.300000000000011</v>
      </c>
      <c r="Q503">
        <v>0.69</v>
      </c>
      <c r="R503">
        <v>95.61</v>
      </c>
      <c r="AC503" s="1">
        <v>41347</v>
      </c>
    </row>
    <row r="504" spans="1:29" x14ac:dyDescent="0.25">
      <c r="A504" t="s">
        <v>86</v>
      </c>
      <c r="D504" t="s">
        <v>1096</v>
      </c>
      <c r="E504" t="s">
        <v>1983</v>
      </c>
      <c r="F504" t="s">
        <v>2075</v>
      </c>
      <c r="G504" t="s">
        <v>2087</v>
      </c>
      <c r="H504" t="s">
        <v>2093</v>
      </c>
      <c r="I504" t="s">
        <v>2103</v>
      </c>
      <c r="J504">
        <v>52</v>
      </c>
      <c r="K504">
        <v>40.380000000000003</v>
      </c>
      <c r="L504">
        <v>4.7</v>
      </c>
      <c r="M504">
        <v>34.130000000000003</v>
      </c>
      <c r="N504">
        <v>4</v>
      </c>
      <c r="O504">
        <v>12</v>
      </c>
      <c r="P504">
        <v>1638.2400000000002</v>
      </c>
      <c r="Q504">
        <v>6.2</v>
      </c>
      <c r="R504">
        <v>1632.04</v>
      </c>
      <c r="AC504" s="1">
        <v>40781</v>
      </c>
    </row>
    <row r="505" spans="1:29" x14ac:dyDescent="0.25">
      <c r="A505" t="s">
        <v>87</v>
      </c>
      <c r="D505" t="s">
        <v>1097</v>
      </c>
      <c r="E505" t="s">
        <v>2020</v>
      </c>
      <c r="F505" t="s">
        <v>2076</v>
      </c>
      <c r="G505" t="s">
        <v>2087</v>
      </c>
      <c r="H505" t="s">
        <v>2094</v>
      </c>
      <c r="I505" t="s">
        <v>2101</v>
      </c>
      <c r="J505">
        <v>3158</v>
      </c>
      <c r="K505">
        <v>31.08</v>
      </c>
      <c r="L505">
        <v>2.5</v>
      </c>
      <c r="M505">
        <v>21.36</v>
      </c>
      <c r="N505">
        <v>1</v>
      </c>
      <c r="O505">
        <v>7</v>
      </c>
      <c r="P505">
        <v>149.51999999999998</v>
      </c>
      <c r="Q505">
        <v>4.5599999999999996</v>
      </c>
      <c r="R505">
        <v>144.96</v>
      </c>
      <c r="AC505" s="1">
        <v>41277</v>
      </c>
    </row>
    <row r="506" spans="1:29" x14ac:dyDescent="0.25">
      <c r="A506" t="s">
        <v>89</v>
      </c>
      <c r="D506" t="s">
        <v>1099</v>
      </c>
      <c r="E506" t="s">
        <v>1990</v>
      </c>
      <c r="F506" t="s">
        <v>2080</v>
      </c>
      <c r="G506" t="s">
        <v>2087</v>
      </c>
      <c r="H506" t="s">
        <v>2094</v>
      </c>
      <c r="I506" t="s">
        <v>2106</v>
      </c>
      <c r="J506">
        <v>198</v>
      </c>
      <c r="K506">
        <v>33.33</v>
      </c>
      <c r="L506">
        <v>3.5</v>
      </c>
      <c r="M506">
        <v>15.04</v>
      </c>
      <c r="N506">
        <v>1</v>
      </c>
      <c r="O506">
        <v>10</v>
      </c>
      <c r="P506">
        <v>150.39999999999998</v>
      </c>
      <c r="Q506">
        <v>2.0499999999999998</v>
      </c>
      <c r="R506">
        <v>148.35</v>
      </c>
      <c r="AC506" s="1">
        <v>42569</v>
      </c>
    </row>
    <row r="507" spans="1:29" x14ac:dyDescent="0.25">
      <c r="A507" t="s">
        <v>97</v>
      </c>
      <c r="D507" t="s">
        <v>1107</v>
      </c>
      <c r="E507" t="s">
        <v>2001</v>
      </c>
      <c r="F507" t="s">
        <v>2074</v>
      </c>
      <c r="G507" t="s">
        <v>2087</v>
      </c>
      <c r="H507" t="s">
        <v>2096</v>
      </c>
      <c r="I507" t="s">
        <v>2103</v>
      </c>
      <c r="J507">
        <v>1919</v>
      </c>
      <c r="K507">
        <v>37.409999999999997</v>
      </c>
      <c r="L507">
        <v>2.2000000000000002</v>
      </c>
      <c r="M507">
        <v>25.86</v>
      </c>
      <c r="N507">
        <v>1</v>
      </c>
      <c r="O507">
        <v>17</v>
      </c>
      <c r="P507">
        <v>439.62</v>
      </c>
      <c r="Q507">
        <v>8.1</v>
      </c>
      <c r="R507">
        <v>431.52</v>
      </c>
      <c r="AC507" s="1">
        <v>40735</v>
      </c>
    </row>
    <row r="508" spans="1:29" x14ac:dyDescent="0.25">
      <c r="A508" t="s">
        <v>119</v>
      </c>
      <c r="D508" t="s">
        <v>1129</v>
      </c>
      <c r="E508" t="s">
        <v>2032</v>
      </c>
      <c r="F508" t="s">
        <v>2075</v>
      </c>
      <c r="G508" t="s">
        <v>2087</v>
      </c>
      <c r="H508" t="s">
        <v>2094</v>
      </c>
      <c r="I508" t="s">
        <v>2097</v>
      </c>
      <c r="J508">
        <v>2994</v>
      </c>
      <c r="K508">
        <v>39.24</v>
      </c>
      <c r="L508">
        <v>3.6</v>
      </c>
      <c r="M508">
        <v>28.14</v>
      </c>
      <c r="N508">
        <v>4</v>
      </c>
      <c r="O508">
        <v>6</v>
      </c>
      <c r="P508">
        <v>675.36</v>
      </c>
      <c r="Q508">
        <v>7.82</v>
      </c>
      <c r="R508">
        <v>667.54</v>
      </c>
      <c r="AC508" s="1">
        <v>41038</v>
      </c>
    </row>
    <row r="509" spans="1:29" x14ac:dyDescent="0.25">
      <c r="A509" t="s">
        <v>128</v>
      </c>
      <c r="D509" t="s">
        <v>1138</v>
      </c>
      <c r="E509" t="s">
        <v>1996</v>
      </c>
      <c r="F509" t="s">
        <v>2078</v>
      </c>
      <c r="G509" t="s">
        <v>2087</v>
      </c>
      <c r="H509" t="s">
        <v>2095</v>
      </c>
      <c r="I509" t="s">
        <v>2104</v>
      </c>
      <c r="J509">
        <v>3797</v>
      </c>
      <c r="K509">
        <v>39.51</v>
      </c>
      <c r="L509">
        <v>1.8</v>
      </c>
      <c r="M509">
        <v>12.08</v>
      </c>
      <c r="N509">
        <v>3</v>
      </c>
      <c r="O509">
        <v>18</v>
      </c>
      <c r="P509">
        <v>652.32000000000005</v>
      </c>
      <c r="Q509">
        <v>0.23</v>
      </c>
      <c r="R509">
        <v>652.09</v>
      </c>
      <c r="AC509" s="1">
        <v>41151</v>
      </c>
    </row>
    <row r="510" spans="1:29" x14ac:dyDescent="0.25">
      <c r="A510" t="s">
        <v>147</v>
      </c>
      <c r="D510" t="s">
        <v>1156</v>
      </c>
      <c r="E510" t="s">
        <v>2006</v>
      </c>
      <c r="F510" t="s">
        <v>2075</v>
      </c>
      <c r="G510" t="s">
        <v>2087</v>
      </c>
      <c r="H510" t="s">
        <v>2092</v>
      </c>
      <c r="I510" t="s">
        <v>2102</v>
      </c>
      <c r="J510">
        <v>3901</v>
      </c>
      <c r="K510">
        <v>32.700000000000003</v>
      </c>
      <c r="L510">
        <v>4.3</v>
      </c>
      <c r="M510">
        <v>29.95</v>
      </c>
      <c r="N510">
        <v>1</v>
      </c>
      <c r="O510">
        <v>15</v>
      </c>
      <c r="P510">
        <v>449.25</v>
      </c>
      <c r="Q510">
        <v>5.7</v>
      </c>
      <c r="R510">
        <v>443.55</v>
      </c>
      <c r="AC510" s="1">
        <v>42126</v>
      </c>
    </row>
    <row r="511" spans="1:29" x14ac:dyDescent="0.25">
      <c r="A511" t="s">
        <v>154</v>
      </c>
      <c r="D511" t="s">
        <v>1163</v>
      </c>
      <c r="E511" t="s">
        <v>2002</v>
      </c>
      <c r="F511" t="s">
        <v>2081</v>
      </c>
      <c r="G511" t="s">
        <v>2087</v>
      </c>
      <c r="H511" t="s">
        <v>2092</v>
      </c>
      <c r="I511" t="s">
        <v>2099</v>
      </c>
      <c r="J511">
        <v>1968</v>
      </c>
      <c r="K511">
        <v>19.149999999999999</v>
      </c>
      <c r="L511">
        <v>2.9</v>
      </c>
      <c r="M511">
        <v>37.39</v>
      </c>
      <c r="N511">
        <v>5</v>
      </c>
      <c r="O511">
        <v>19</v>
      </c>
      <c r="P511">
        <v>3552.0499999999997</v>
      </c>
      <c r="Q511">
        <v>7.63</v>
      </c>
      <c r="R511">
        <v>3544.42</v>
      </c>
      <c r="AC511" s="1">
        <v>41951</v>
      </c>
    </row>
    <row r="512" spans="1:29" x14ac:dyDescent="0.25">
      <c r="A512" t="s">
        <v>250</v>
      </c>
      <c r="D512" t="s">
        <v>1257</v>
      </c>
      <c r="E512" t="s">
        <v>1978</v>
      </c>
      <c r="F512" t="s">
        <v>2073</v>
      </c>
      <c r="G512" t="s">
        <v>2087</v>
      </c>
      <c r="H512" t="s">
        <v>2092</v>
      </c>
      <c r="I512" t="s">
        <v>2106</v>
      </c>
      <c r="J512">
        <v>3655</v>
      </c>
      <c r="K512">
        <v>36.51</v>
      </c>
      <c r="L512">
        <v>4.9000000000000004</v>
      </c>
      <c r="M512">
        <v>36.130000000000003</v>
      </c>
      <c r="N512">
        <v>1</v>
      </c>
      <c r="O512">
        <v>13</v>
      </c>
      <c r="P512">
        <v>469.69000000000005</v>
      </c>
      <c r="Q512">
        <v>9.08</v>
      </c>
      <c r="R512">
        <v>460.61</v>
      </c>
      <c r="AC512" s="1">
        <v>40492</v>
      </c>
    </row>
    <row r="513" spans="1:29" x14ac:dyDescent="0.25">
      <c r="A513" t="s">
        <v>503</v>
      </c>
      <c r="D513" t="s">
        <v>1499</v>
      </c>
      <c r="E513" t="s">
        <v>2026</v>
      </c>
      <c r="F513" t="s">
        <v>2074</v>
      </c>
      <c r="G513" t="s">
        <v>2087</v>
      </c>
      <c r="H513" t="s">
        <v>2094</v>
      </c>
      <c r="I513" t="s">
        <v>2111</v>
      </c>
      <c r="J513">
        <v>3331</v>
      </c>
      <c r="K513">
        <v>18.309999999999999</v>
      </c>
      <c r="L513">
        <v>4.7</v>
      </c>
      <c r="M513">
        <v>33.479999999999997</v>
      </c>
      <c r="N513">
        <v>5</v>
      </c>
      <c r="O513">
        <v>6</v>
      </c>
      <c r="P513">
        <v>1004.3999999999999</v>
      </c>
      <c r="Q513">
        <v>3.84</v>
      </c>
      <c r="R513">
        <v>1000.56</v>
      </c>
      <c r="AC513" s="1">
        <v>41095</v>
      </c>
    </row>
    <row r="514" spans="1:29" x14ac:dyDescent="0.25">
      <c r="A514" t="s">
        <v>578</v>
      </c>
      <c r="D514" t="s">
        <v>1568</v>
      </c>
      <c r="E514" t="s">
        <v>2058</v>
      </c>
      <c r="F514" t="s">
        <v>2080</v>
      </c>
      <c r="G514" t="s">
        <v>2087</v>
      </c>
      <c r="H514" t="s">
        <v>2094</v>
      </c>
      <c r="I514" t="s">
        <v>2103</v>
      </c>
      <c r="J514">
        <v>4036</v>
      </c>
      <c r="K514">
        <v>35.549999999999997</v>
      </c>
      <c r="L514">
        <v>4.2</v>
      </c>
      <c r="M514">
        <v>35.450000000000003</v>
      </c>
      <c r="N514">
        <v>2</v>
      </c>
      <c r="O514">
        <v>6</v>
      </c>
      <c r="P514">
        <v>425.40000000000003</v>
      </c>
      <c r="Q514">
        <v>9.08</v>
      </c>
      <c r="R514">
        <v>416.32</v>
      </c>
      <c r="AC514" s="1">
        <v>40938</v>
      </c>
    </row>
    <row r="515" spans="1:29" x14ac:dyDescent="0.25">
      <c r="A515" t="s">
        <v>757</v>
      </c>
      <c r="D515" t="s">
        <v>1733</v>
      </c>
      <c r="E515" t="s">
        <v>1973</v>
      </c>
      <c r="F515" t="s">
        <v>2077</v>
      </c>
      <c r="G515" t="s">
        <v>2087</v>
      </c>
      <c r="H515" t="s">
        <v>2094</v>
      </c>
      <c r="I515" t="s">
        <v>2111</v>
      </c>
      <c r="J515">
        <v>1204</v>
      </c>
      <c r="K515">
        <v>17.93</v>
      </c>
      <c r="L515">
        <v>1.9</v>
      </c>
      <c r="M515">
        <v>30.27</v>
      </c>
      <c r="N515">
        <v>2</v>
      </c>
      <c r="O515">
        <v>2</v>
      </c>
      <c r="P515">
        <v>121.08</v>
      </c>
      <c r="Q515">
        <v>1.75</v>
      </c>
      <c r="R515">
        <v>119.33</v>
      </c>
      <c r="AC515" s="1">
        <v>40454</v>
      </c>
    </row>
    <row r="516" spans="1:29" x14ac:dyDescent="0.25">
      <c r="A516" t="s">
        <v>803</v>
      </c>
      <c r="D516" t="s">
        <v>1775</v>
      </c>
      <c r="E516" t="s">
        <v>2027</v>
      </c>
      <c r="F516" t="s">
        <v>2073</v>
      </c>
      <c r="G516" t="s">
        <v>2087</v>
      </c>
      <c r="H516" t="s">
        <v>2093</v>
      </c>
      <c r="I516" t="s">
        <v>2106</v>
      </c>
      <c r="J516">
        <v>1943</v>
      </c>
      <c r="K516">
        <v>22.32</v>
      </c>
      <c r="L516">
        <v>2</v>
      </c>
      <c r="M516">
        <v>32.19</v>
      </c>
      <c r="N516">
        <v>4</v>
      </c>
      <c r="O516">
        <v>6</v>
      </c>
      <c r="P516">
        <v>772.56</v>
      </c>
      <c r="Q516">
        <v>5.0199999999999996</v>
      </c>
      <c r="R516">
        <v>767.54</v>
      </c>
      <c r="AC516" s="1">
        <v>41399</v>
      </c>
    </row>
    <row r="517" spans="1:29" x14ac:dyDescent="0.25">
      <c r="A517" t="s">
        <v>818</v>
      </c>
      <c r="D517" t="s">
        <v>1789</v>
      </c>
      <c r="E517" t="s">
        <v>1976</v>
      </c>
      <c r="F517" t="s">
        <v>2081</v>
      </c>
      <c r="G517" t="s">
        <v>2087</v>
      </c>
      <c r="H517" t="s">
        <v>2092</v>
      </c>
      <c r="I517" t="s">
        <v>2111</v>
      </c>
      <c r="J517">
        <v>655</v>
      </c>
      <c r="K517">
        <v>22.54</v>
      </c>
      <c r="L517">
        <v>2.1</v>
      </c>
      <c r="M517">
        <v>36.29</v>
      </c>
      <c r="N517">
        <v>4</v>
      </c>
      <c r="O517">
        <v>12</v>
      </c>
      <c r="P517">
        <v>1741.92</v>
      </c>
      <c r="Q517">
        <v>7.47</v>
      </c>
      <c r="R517">
        <v>1734.45</v>
      </c>
      <c r="AC517" s="1">
        <v>42809</v>
      </c>
    </row>
    <row r="518" spans="1:29" x14ac:dyDescent="0.25">
      <c r="A518" t="s">
        <v>834</v>
      </c>
      <c r="D518" t="s">
        <v>1529</v>
      </c>
      <c r="E518" t="s">
        <v>2038</v>
      </c>
      <c r="F518" t="s">
        <v>2078</v>
      </c>
      <c r="G518" t="s">
        <v>2087</v>
      </c>
      <c r="H518" t="s">
        <v>2092</v>
      </c>
      <c r="I518" t="s">
        <v>2103</v>
      </c>
      <c r="J518">
        <v>255</v>
      </c>
      <c r="K518">
        <v>27.72</v>
      </c>
      <c r="L518">
        <v>2.9</v>
      </c>
      <c r="M518">
        <v>36.020000000000003</v>
      </c>
      <c r="N518">
        <v>1</v>
      </c>
      <c r="O518">
        <v>5</v>
      </c>
      <c r="P518">
        <v>180.10000000000002</v>
      </c>
      <c r="Q518">
        <v>8.1</v>
      </c>
      <c r="R518">
        <v>172</v>
      </c>
      <c r="AC518" s="1">
        <v>40198</v>
      </c>
    </row>
    <row r="519" spans="1:29" x14ac:dyDescent="0.25">
      <c r="A519" t="s">
        <v>459</v>
      </c>
      <c r="D519" t="s">
        <v>1457</v>
      </c>
      <c r="E519" t="s">
        <v>1999</v>
      </c>
      <c r="F519" t="s">
        <v>2074</v>
      </c>
      <c r="G519" t="s">
        <v>2088</v>
      </c>
      <c r="H519" t="s">
        <v>2095</v>
      </c>
      <c r="I519" t="s">
        <v>2101</v>
      </c>
      <c r="J519">
        <v>4376</v>
      </c>
      <c r="K519">
        <v>40.67</v>
      </c>
      <c r="L519">
        <v>1.2</v>
      </c>
      <c r="M519">
        <v>10.82</v>
      </c>
      <c r="N519">
        <v>4</v>
      </c>
      <c r="O519">
        <v>6</v>
      </c>
      <c r="P519">
        <v>259.68</v>
      </c>
      <c r="Q519">
        <v>7.27</v>
      </c>
      <c r="R519">
        <v>252.41</v>
      </c>
      <c r="AC519" s="1">
        <v>42125</v>
      </c>
    </row>
    <row r="520" spans="1:29" x14ac:dyDescent="0.25">
      <c r="A520" t="s">
        <v>735</v>
      </c>
      <c r="D520" t="s">
        <v>1713</v>
      </c>
      <c r="E520" t="s">
        <v>2008</v>
      </c>
      <c r="F520" t="s">
        <v>2079</v>
      </c>
      <c r="G520" t="s">
        <v>2088</v>
      </c>
      <c r="H520" t="s">
        <v>2095</v>
      </c>
      <c r="I520" t="s">
        <v>2107</v>
      </c>
      <c r="J520">
        <v>1274</v>
      </c>
      <c r="K520">
        <v>19.760000000000002</v>
      </c>
      <c r="L520">
        <v>1.1000000000000001</v>
      </c>
      <c r="M520">
        <v>15.58</v>
      </c>
      <c r="N520">
        <v>4</v>
      </c>
      <c r="O520">
        <v>6</v>
      </c>
      <c r="P520">
        <v>373.92</v>
      </c>
      <c r="Q520">
        <v>0.56999999999999995</v>
      </c>
      <c r="R520">
        <v>373.35</v>
      </c>
      <c r="AC520" s="1">
        <v>42874</v>
      </c>
    </row>
    <row r="521" spans="1:29" x14ac:dyDescent="0.25">
      <c r="A521" t="s">
        <v>826</v>
      </c>
      <c r="D521" t="s">
        <v>1796</v>
      </c>
      <c r="E521" t="s">
        <v>2020</v>
      </c>
      <c r="F521" t="s">
        <v>2076</v>
      </c>
      <c r="G521" t="s">
        <v>2088</v>
      </c>
      <c r="H521" t="s">
        <v>2092</v>
      </c>
      <c r="I521" t="s">
        <v>2105</v>
      </c>
      <c r="J521">
        <v>3107</v>
      </c>
      <c r="K521">
        <v>43.56</v>
      </c>
      <c r="L521">
        <v>2.9</v>
      </c>
      <c r="M521">
        <v>9.9</v>
      </c>
      <c r="N521">
        <v>4</v>
      </c>
      <c r="O521">
        <v>19</v>
      </c>
      <c r="P521">
        <v>752.4</v>
      </c>
      <c r="Q521">
        <v>4.17</v>
      </c>
      <c r="R521">
        <v>748.23</v>
      </c>
      <c r="AC521" s="1">
        <v>41283</v>
      </c>
    </row>
    <row r="522" spans="1:29" x14ac:dyDescent="0.25">
      <c r="A522" t="s">
        <v>835</v>
      </c>
      <c r="D522" t="s">
        <v>1804</v>
      </c>
      <c r="E522" t="s">
        <v>1989</v>
      </c>
      <c r="F522" t="s">
        <v>2076</v>
      </c>
      <c r="G522" t="s">
        <v>2088</v>
      </c>
      <c r="H522" t="s">
        <v>2096</v>
      </c>
      <c r="I522" t="s">
        <v>2098</v>
      </c>
      <c r="J522">
        <v>3690</v>
      </c>
      <c r="K522">
        <v>31.24</v>
      </c>
      <c r="L522">
        <v>4.3</v>
      </c>
      <c r="M522">
        <v>31.67</v>
      </c>
      <c r="N522">
        <v>3</v>
      </c>
      <c r="O522">
        <v>7</v>
      </c>
      <c r="P522">
        <v>665.07</v>
      </c>
      <c r="Q522">
        <v>4.92</v>
      </c>
      <c r="R522">
        <v>660.15</v>
      </c>
      <c r="AC522" s="1">
        <v>42868</v>
      </c>
    </row>
    <row r="523" spans="1:29" x14ac:dyDescent="0.25">
      <c r="A523" t="s">
        <v>847</v>
      </c>
      <c r="D523" t="s">
        <v>1816</v>
      </c>
      <c r="E523" t="s">
        <v>2001</v>
      </c>
      <c r="F523" t="s">
        <v>2081</v>
      </c>
      <c r="G523" t="s">
        <v>2088</v>
      </c>
      <c r="H523" t="s">
        <v>2094</v>
      </c>
      <c r="I523" t="s">
        <v>2107</v>
      </c>
      <c r="J523">
        <v>938</v>
      </c>
      <c r="K523">
        <v>37.92</v>
      </c>
      <c r="L523">
        <v>3.1</v>
      </c>
      <c r="M523">
        <v>36.51</v>
      </c>
      <c r="N523">
        <v>3</v>
      </c>
      <c r="O523">
        <v>7</v>
      </c>
      <c r="P523">
        <v>766.71</v>
      </c>
      <c r="Q523">
        <v>6.74</v>
      </c>
      <c r="R523">
        <v>759.97</v>
      </c>
      <c r="AC523" s="1">
        <v>40921</v>
      </c>
    </row>
    <row r="524" spans="1:29" x14ac:dyDescent="0.25">
      <c r="A524" t="s">
        <v>24</v>
      </c>
      <c r="D524" t="s">
        <v>1034</v>
      </c>
      <c r="E524" t="s">
        <v>1980</v>
      </c>
      <c r="F524" t="s">
        <v>2077</v>
      </c>
      <c r="G524" t="s">
        <v>2085</v>
      </c>
      <c r="H524" t="s">
        <v>2096</v>
      </c>
      <c r="I524" t="s">
        <v>2104</v>
      </c>
      <c r="J524">
        <v>3900</v>
      </c>
      <c r="K524">
        <v>6.42</v>
      </c>
      <c r="L524">
        <v>4.3</v>
      </c>
      <c r="M524">
        <v>7.41</v>
      </c>
      <c r="N524">
        <v>3</v>
      </c>
      <c r="O524">
        <v>2</v>
      </c>
      <c r="P524">
        <v>44.46</v>
      </c>
      <c r="Q524">
        <v>2.87</v>
      </c>
      <c r="R524">
        <v>41.59</v>
      </c>
      <c r="AC524" s="1">
        <v>43199</v>
      </c>
    </row>
    <row r="525" spans="1:29" x14ac:dyDescent="0.25">
      <c r="A525" t="s">
        <v>49</v>
      </c>
      <c r="D525" t="s">
        <v>1059</v>
      </c>
      <c r="E525" t="s">
        <v>1998</v>
      </c>
      <c r="F525" t="s">
        <v>2081</v>
      </c>
      <c r="G525" t="s">
        <v>2085</v>
      </c>
      <c r="H525" t="s">
        <v>2093</v>
      </c>
      <c r="I525" t="s">
        <v>2105</v>
      </c>
      <c r="J525">
        <v>1406</v>
      </c>
      <c r="K525">
        <v>48.04</v>
      </c>
      <c r="L525">
        <v>1.8</v>
      </c>
      <c r="M525">
        <v>38.79</v>
      </c>
      <c r="N525">
        <v>5</v>
      </c>
      <c r="O525">
        <v>5</v>
      </c>
      <c r="P525">
        <v>969.75</v>
      </c>
      <c r="Q525">
        <v>7.23</v>
      </c>
      <c r="R525">
        <v>962.52</v>
      </c>
      <c r="AC525" s="1">
        <v>41167</v>
      </c>
    </row>
    <row r="526" spans="1:29" x14ac:dyDescent="0.25">
      <c r="A526" t="s">
        <v>264</v>
      </c>
      <c r="D526" t="s">
        <v>1271</v>
      </c>
      <c r="E526" t="s">
        <v>2049</v>
      </c>
      <c r="F526" t="s">
        <v>2082</v>
      </c>
      <c r="G526" t="s">
        <v>2085</v>
      </c>
      <c r="H526" t="s">
        <v>2094</v>
      </c>
      <c r="I526" t="s">
        <v>2101</v>
      </c>
      <c r="J526">
        <v>2037</v>
      </c>
      <c r="K526">
        <v>32.31</v>
      </c>
      <c r="L526">
        <v>3</v>
      </c>
      <c r="M526">
        <v>20.18</v>
      </c>
      <c r="N526">
        <v>5</v>
      </c>
      <c r="O526">
        <v>20</v>
      </c>
      <c r="P526">
        <v>2018</v>
      </c>
      <c r="Q526">
        <v>9.35</v>
      </c>
      <c r="R526">
        <v>2008.65</v>
      </c>
      <c r="AC526" s="1">
        <v>41533</v>
      </c>
    </row>
    <row r="527" spans="1:29" x14ac:dyDescent="0.25">
      <c r="A527" t="s">
        <v>271</v>
      </c>
      <c r="D527" t="s">
        <v>1277</v>
      </c>
      <c r="E527" t="s">
        <v>1980</v>
      </c>
      <c r="F527" t="s">
        <v>2076</v>
      </c>
      <c r="G527" t="s">
        <v>2085</v>
      </c>
      <c r="H527" t="s">
        <v>2092</v>
      </c>
      <c r="I527" t="s">
        <v>2099</v>
      </c>
      <c r="J527">
        <v>3928</v>
      </c>
      <c r="K527">
        <v>13.04</v>
      </c>
      <c r="L527">
        <v>3.3</v>
      </c>
      <c r="M527">
        <v>21.73</v>
      </c>
      <c r="N527">
        <v>5</v>
      </c>
      <c r="O527">
        <v>11</v>
      </c>
      <c r="P527">
        <v>1195.1500000000001</v>
      </c>
      <c r="Q527">
        <v>4.08</v>
      </c>
      <c r="R527">
        <v>1191.07</v>
      </c>
      <c r="AC527" s="1">
        <v>40853</v>
      </c>
    </row>
    <row r="528" spans="1:29" x14ac:dyDescent="0.25">
      <c r="A528" t="s">
        <v>391</v>
      </c>
      <c r="D528" t="s">
        <v>1392</v>
      </c>
      <c r="E528" t="s">
        <v>2024</v>
      </c>
      <c r="F528" t="s">
        <v>2077</v>
      </c>
      <c r="G528" t="s">
        <v>2085</v>
      </c>
      <c r="H528" t="s">
        <v>2096</v>
      </c>
      <c r="I528" t="s">
        <v>2105</v>
      </c>
      <c r="J528">
        <v>3182</v>
      </c>
      <c r="K528">
        <v>36.47</v>
      </c>
      <c r="L528">
        <v>2.2000000000000002</v>
      </c>
      <c r="M528">
        <v>37.79</v>
      </c>
      <c r="N528">
        <v>3</v>
      </c>
      <c r="O528">
        <v>4</v>
      </c>
      <c r="P528">
        <v>453.48</v>
      </c>
      <c r="Q528">
        <v>9.5</v>
      </c>
      <c r="R528">
        <v>443.98</v>
      </c>
      <c r="AC528" s="1">
        <v>40721</v>
      </c>
    </row>
    <row r="529" spans="1:29" x14ac:dyDescent="0.25">
      <c r="A529" t="s">
        <v>633</v>
      </c>
      <c r="D529" t="s">
        <v>1618</v>
      </c>
      <c r="E529" t="s">
        <v>2035</v>
      </c>
      <c r="F529" t="s">
        <v>2078</v>
      </c>
      <c r="G529" t="s">
        <v>2085</v>
      </c>
      <c r="H529" t="s">
        <v>2093</v>
      </c>
      <c r="I529" t="s">
        <v>2108</v>
      </c>
      <c r="J529">
        <v>4633</v>
      </c>
      <c r="K529">
        <v>26.22</v>
      </c>
      <c r="L529">
        <v>4.0999999999999996</v>
      </c>
      <c r="M529">
        <v>10.02</v>
      </c>
      <c r="N529">
        <v>3</v>
      </c>
      <c r="O529">
        <v>10</v>
      </c>
      <c r="P529">
        <v>300.59999999999997</v>
      </c>
      <c r="Q529">
        <v>8.01</v>
      </c>
      <c r="R529">
        <v>292.58999999999997</v>
      </c>
      <c r="AC529" s="1">
        <v>40808</v>
      </c>
    </row>
    <row r="530" spans="1:29" x14ac:dyDescent="0.25">
      <c r="A530" t="s">
        <v>646</v>
      </c>
      <c r="D530" t="s">
        <v>1631</v>
      </c>
      <c r="E530" t="s">
        <v>2072</v>
      </c>
      <c r="F530" t="s">
        <v>2082</v>
      </c>
      <c r="G530" t="s">
        <v>2085</v>
      </c>
      <c r="H530" t="s">
        <v>2094</v>
      </c>
      <c r="I530" t="s">
        <v>2109</v>
      </c>
      <c r="J530">
        <v>4696</v>
      </c>
      <c r="K530">
        <v>42.95</v>
      </c>
      <c r="L530">
        <v>3.2</v>
      </c>
      <c r="M530">
        <v>17.62</v>
      </c>
      <c r="N530">
        <v>4</v>
      </c>
      <c r="O530">
        <v>5</v>
      </c>
      <c r="P530">
        <v>352.40000000000003</v>
      </c>
      <c r="Q530">
        <v>7.25</v>
      </c>
      <c r="R530">
        <v>345.15</v>
      </c>
      <c r="AC530" s="1">
        <v>42483</v>
      </c>
    </row>
    <row r="531" spans="1:29" x14ac:dyDescent="0.25">
      <c r="A531" t="s">
        <v>830</v>
      </c>
      <c r="D531" t="s">
        <v>1800</v>
      </c>
      <c r="E531" t="s">
        <v>2029</v>
      </c>
      <c r="F531" t="s">
        <v>2082</v>
      </c>
      <c r="G531" t="s">
        <v>2085</v>
      </c>
      <c r="H531" t="s">
        <v>2092</v>
      </c>
      <c r="I531" t="s">
        <v>2098</v>
      </c>
      <c r="J531">
        <v>362</v>
      </c>
      <c r="K531">
        <v>48.2</v>
      </c>
      <c r="L531">
        <v>2</v>
      </c>
      <c r="M531">
        <v>20.43</v>
      </c>
      <c r="N531">
        <v>4</v>
      </c>
      <c r="O531">
        <v>4</v>
      </c>
      <c r="P531">
        <v>326.88</v>
      </c>
      <c r="Q531">
        <v>1.59</v>
      </c>
      <c r="R531">
        <v>325.29000000000002</v>
      </c>
      <c r="AC531" s="1">
        <v>43214</v>
      </c>
    </row>
    <row r="532" spans="1:29" x14ac:dyDescent="0.25">
      <c r="A532" t="s">
        <v>94</v>
      </c>
      <c r="D532" t="s">
        <v>1104</v>
      </c>
      <c r="E532" t="s">
        <v>1981</v>
      </c>
      <c r="F532" t="s">
        <v>2075</v>
      </c>
      <c r="G532" t="s">
        <v>2091</v>
      </c>
      <c r="H532" t="s">
        <v>2093</v>
      </c>
      <c r="I532" t="s">
        <v>2107</v>
      </c>
      <c r="J532">
        <v>993</v>
      </c>
      <c r="K532">
        <v>31.77</v>
      </c>
      <c r="L532">
        <v>2.2000000000000002</v>
      </c>
      <c r="M532">
        <v>10.18</v>
      </c>
      <c r="N532">
        <v>5</v>
      </c>
      <c r="O532">
        <v>4</v>
      </c>
      <c r="P532">
        <v>203.6</v>
      </c>
      <c r="Q532">
        <v>1.01</v>
      </c>
      <c r="R532">
        <v>202.59</v>
      </c>
      <c r="AC532" s="1">
        <v>42464</v>
      </c>
    </row>
    <row r="533" spans="1:29" x14ac:dyDescent="0.25">
      <c r="A533" t="s">
        <v>167</v>
      </c>
      <c r="D533" t="s">
        <v>1176</v>
      </c>
      <c r="E533" t="s">
        <v>1976</v>
      </c>
      <c r="F533" t="s">
        <v>2073</v>
      </c>
      <c r="G533" t="s">
        <v>2091</v>
      </c>
      <c r="H533" t="s">
        <v>2094</v>
      </c>
      <c r="I533" t="s">
        <v>2104</v>
      </c>
      <c r="J533">
        <v>748</v>
      </c>
      <c r="K533">
        <v>17.98</v>
      </c>
      <c r="L533">
        <v>4.5</v>
      </c>
      <c r="M533">
        <v>5.64</v>
      </c>
      <c r="N533">
        <v>2</v>
      </c>
      <c r="O533">
        <v>17</v>
      </c>
      <c r="P533">
        <v>191.76</v>
      </c>
      <c r="Q533">
        <v>6.26</v>
      </c>
      <c r="R533">
        <v>185.5</v>
      </c>
      <c r="AC533" s="1">
        <v>40472</v>
      </c>
    </row>
    <row r="534" spans="1:29" x14ac:dyDescent="0.25">
      <c r="A534" t="s">
        <v>243</v>
      </c>
      <c r="D534" t="s">
        <v>1250</v>
      </c>
      <c r="E534" t="s">
        <v>2031</v>
      </c>
      <c r="F534" t="s">
        <v>2078</v>
      </c>
      <c r="G534" t="s">
        <v>2091</v>
      </c>
      <c r="H534" t="s">
        <v>2093</v>
      </c>
      <c r="I534" t="s">
        <v>2102</v>
      </c>
      <c r="J534">
        <v>2488</v>
      </c>
      <c r="K534">
        <v>30.95</v>
      </c>
      <c r="L534">
        <v>4.2</v>
      </c>
      <c r="M534">
        <v>21.36</v>
      </c>
      <c r="N534">
        <v>5</v>
      </c>
      <c r="O534">
        <v>10</v>
      </c>
      <c r="P534">
        <v>1068</v>
      </c>
      <c r="Q534">
        <v>4.05</v>
      </c>
      <c r="R534">
        <v>1063.95</v>
      </c>
      <c r="AC534" s="1">
        <v>43203</v>
      </c>
    </row>
    <row r="535" spans="1:29" x14ac:dyDescent="0.25">
      <c r="A535" t="s">
        <v>279</v>
      </c>
      <c r="D535" t="s">
        <v>1284</v>
      </c>
      <c r="E535" t="s">
        <v>2067</v>
      </c>
      <c r="F535" t="s">
        <v>2073</v>
      </c>
      <c r="G535" t="s">
        <v>2091</v>
      </c>
      <c r="H535" t="s">
        <v>2094</v>
      </c>
      <c r="I535" t="s">
        <v>2111</v>
      </c>
      <c r="J535">
        <v>4104</v>
      </c>
      <c r="K535">
        <v>43.94</v>
      </c>
      <c r="L535">
        <v>4.5</v>
      </c>
      <c r="M535">
        <v>8.0399999999999991</v>
      </c>
      <c r="N535">
        <v>3</v>
      </c>
      <c r="O535">
        <v>5</v>
      </c>
      <c r="P535">
        <v>120.6</v>
      </c>
      <c r="Q535">
        <v>2.5299999999999998</v>
      </c>
      <c r="R535">
        <v>118.07</v>
      </c>
      <c r="AC535" s="1">
        <v>43222</v>
      </c>
    </row>
    <row r="536" spans="1:29" x14ac:dyDescent="0.25">
      <c r="A536" t="s">
        <v>355</v>
      </c>
      <c r="D536" t="s">
        <v>1358</v>
      </c>
      <c r="E536" t="s">
        <v>2027</v>
      </c>
      <c r="F536" t="s">
        <v>2080</v>
      </c>
      <c r="G536" t="s">
        <v>2091</v>
      </c>
      <c r="H536" t="s">
        <v>2093</v>
      </c>
      <c r="I536" t="s">
        <v>2099</v>
      </c>
      <c r="J536">
        <v>511</v>
      </c>
      <c r="K536">
        <v>20.12</v>
      </c>
      <c r="L536">
        <v>4.2</v>
      </c>
      <c r="M536">
        <v>38.880000000000003</v>
      </c>
      <c r="N536">
        <v>3</v>
      </c>
      <c r="O536">
        <v>8</v>
      </c>
      <c r="P536">
        <v>933.12000000000012</v>
      </c>
      <c r="Q536">
        <v>9.61</v>
      </c>
      <c r="R536">
        <v>923.51</v>
      </c>
      <c r="AC536" s="1">
        <v>42149</v>
      </c>
    </row>
    <row r="537" spans="1:29" x14ac:dyDescent="0.25">
      <c r="A537" t="s">
        <v>366</v>
      </c>
      <c r="D537" t="s">
        <v>1368</v>
      </c>
      <c r="E537" t="s">
        <v>1993</v>
      </c>
      <c r="F537" t="s">
        <v>2076</v>
      </c>
      <c r="G537" t="s">
        <v>2091</v>
      </c>
      <c r="H537" t="s">
        <v>2095</v>
      </c>
      <c r="I537" t="s">
        <v>2098</v>
      </c>
      <c r="J537">
        <v>248</v>
      </c>
      <c r="K537">
        <v>10.78</v>
      </c>
      <c r="L537">
        <v>2.1</v>
      </c>
      <c r="M537">
        <v>32.85</v>
      </c>
      <c r="N537">
        <v>5</v>
      </c>
      <c r="O537">
        <v>10</v>
      </c>
      <c r="P537">
        <v>1642.5</v>
      </c>
      <c r="Q537">
        <v>9.77</v>
      </c>
      <c r="R537">
        <v>1632.73</v>
      </c>
      <c r="AC537" s="1">
        <v>41003</v>
      </c>
    </row>
    <row r="538" spans="1:29" x14ac:dyDescent="0.25">
      <c r="A538" t="s">
        <v>394</v>
      </c>
      <c r="D538" t="s">
        <v>1395</v>
      </c>
      <c r="E538" t="s">
        <v>2022</v>
      </c>
      <c r="F538" t="s">
        <v>2076</v>
      </c>
      <c r="G538" t="s">
        <v>2091</v>
      </c>
      <c r="H538" t="s">
        <v>2096</v>
      </c>
      <c r="I538" t="s">
        <v>2111</v>
      </c>
      <c r="J538">
        <v>3455</v>
      </c>
      <c r="K538">
        <v>9.3800000000000008</v>
      </c>
      <c r="L538">
        <v>1.2</v>
      </c>
      <c r="M538">
        <v>8.75</v>
      </c>
      <c r="N538">
        <v>4</v>
      </c>
      <c r="O538">
        <v>12</v>
      </c>
      <c r="P538">
        <v>420</v>
      </c>
      <c r="Q538">
        <v>2.98</v>
      </c>
      <c r="R538">
        <v>417.02</v>
      </c>
      <c r="AC538" s="1">
        <v>42179</v>
      </c>
    </row>
    <row r="539" spans="1:29" x14ac:dyDescent="0.25">
      <c r="A539" t="s">
        <v>524</v>
      </c>
      <c r="D539" t="s">
        <v>1519</v>
      </c>
      <c r="E539" t="s">
        <v>2060</v>
      </c>
      <c r="F539" t="s">
        <v>2075</v>
      </c>
      <c r="G539" t="s">
        <v>2091</v>
      </c>
      <c r="H539" t="s">
        <v>2092</v>
      </c>
      <c r="I539" t="s">
        <v>2099</v>
      </c>
      <c r="J539">
        <v>111</v>
      </c>
      <c r="K539">
        <v>19.79</v>
      </c>
      <c r="L539">
        <v>1</v>
      </c>
      <c r="M539">
        <v>5.78</v>
      </c>
      <c r="N539">
        <v>3</v>
      </c>
      <c r="O539">
        <v>15</v>
      </c>
      <c r="P539">
        <v>260.10000000000002</v>
      </c>
      <c r="Q539">
        <v>0.31</v>
      </c>
      <c r="R539">
        <v>259.79000000000002</v>
      </c>
      <c r="AC539" s="1">
        <v>43433</v>
      </c>
    </row>
    <row r="540" spans="1:29" x14ac:dyDescent="0.25">
      <c r="A540" t="s">
        <v>637</v>
      </c>
      <c r="D540" t="s">
        <v>1622</v>
      </c>
      <c r="E540" t="s">
        <v>2060</v>
      </c>
      <c r="F540" t="s">
        <v>2073</v>
      </c>
      <c r="G540" t="s">
        <v>2091</v>
      </c>
      <c r="H540" t="s">
        <v>2094</v>
      </c>
      <c r="I540" t="s">
        <v>2100</v>
      </c>
      <c r="J540">
        <v>351</v>
      </c>
      <c r="K540">
        <v>39.15</v>
      </c>
      <c r="L540">
        <v>3.6</v>
      </c>
      <c r="M540">
        <v>33.08</v>
      </c>
      <c r="N540">
        <v>4</v>
      </c>
      <c r="O540">
        <v>20</v>
      </c>
      <c r="P540">
        <v>2646.3999999999996</v>
      </c>
      <c r="Q540">
        <v>6.89</v>
      </c>
      <c r="R540">
        <v>2639.51</v>
      </c>
      <c r="AC540" s="1">
        <v>40376</v>
      </c>
    </row>
    <row r="541" spans="1:29" x14ac:dyDescent="0.25">
      <c r="A541" t="s">
        <v>667</v>
      </c>
      <c r="D541" t="s">
        <v>1207</v>
      </c>
      <c r="E541" t="s">
        <v>1996</v>
      </c>
      <c r="F541" t="s">
        <v>2080</v>
      </c>
      <c r="G541" t="s">
        <v>2091</v>
      </c>
      <c r="H541" t="s">
        <v>2096</v>
      </c>
      <c r="I541" t="s">
        <v>2100</v>
      </c>
      <c r="J541">
        <v>4367</v>
      </c>
      <c r="K541">
        <v>7.73</v>
      </c>
      <c r="L541">
        <v>3.3</v>
      </c>
      <c r="M541">
        <v>9.1199999999999992</v>
      </c>
      <c r="N541">
        <v>1</v>
      </c>
      <c r="O541">
        <v>12</v>
      </c>
      <c r="P541">
        <v>109.44</v>
      </c>
      <c r="Q541">
        <v>1.83</v>
      </c>
      <c r="R541">
        <v>107.61</v>
      </c>
      <c r="AC541" s="1">
        <v>41803</v>
      </c>
    </row>
    <row r="542" spans="1:29" x14ac:dyDescent="0.25">
      <c r="A542" t="s">
        <v>670</v>
      </c>
      <c r="D542" t="s">
        <v>1652</v>
      </c>
      <c r="E542" t="s">
        <v>2054</v>
      </c>
      <c r="F542" t="s">
        <v>2079</v>
      </c>
      <c r="G542" t="s">
        <v>2091</v>
      </c>
      <c r="H542" t="s">
        <v>2093</v>
      </c>
      <c r="I542" t="s">
        <v>2099</v>
      </c>
      <c r="J542">
        <v>1266</v>
      </c>
      <c r="K542">
        <v>15.66</v>
      </c>
      <c r="L542">
        <v>1.5</v>
      </c>
      <c r="M542">
        <v>14.44</v>
      </c>
      <c r="N542">
        <v>5</v>
      </c>
      <c r="O542">
        <v>10</v>
      </c>
      <c r="P542">
        <v>722</v>
      </c>
      <c r="Q542">
        <v>5.57</v>
      </c>
      <c r="R542">
        <v>716.43</v>
      </c>
      <c r="AC542" s="1">
        <v>41719</v>
      </c>
    </row>
    <row r="543" spans="1:29" x14ac:dyDescent="0.25">
      <c r="A543" t="s">
        <v>695</v>
      </c>
      <c r="D543" t="s">
        <v>1676</v>
      </c>
      <c r="E543" t="s">
        <v>2027</v>
      </c>
      <c r="F543" t="s">
        <v>2076</v>
      </c>
      <c r="G543" t="s">
        <v>2091</v>
      </c>
      <c r="H543" t="s">
        <v>2096</v>
      </c>
      <c r="I543" t="s">
        <v>2104</v>
      </c>
      <c r="J543">
        <v>1428</v>
      </c>
      <c r="K543">
        <v>7.58</v>
      </c>
      <c r="L543">
        <v>1.3</v>
      </c>
      <c r="M543">
        <v>38.119999999999997</v>
      </c>
      <c r="N543">
        <v>3</v>
      </c>
      <c r="O543">
        <v>19</v>
      </c>
      <c r="P543">
        <v>2172.8399999999997</v>
      </c>
      <c r="Q543">
        <v>0.51</v>
      </c>
      <c r="R543">
        <v>2172.33</v>
      </c>
      <c r="AC543" s="1">
        <v>40492</v>
      </c>
    </row>
    <row r="544" spans="1:29" x14ac:dyDescent="0.25">
      <c r="A544" t="s">
        <v>732</v>
      </c>
      <c r="D544" t="s">
        <v>1711</v>
      </c>
      <c r="E544" t="s">
        <v>2004</v>
      </c>
      <c r="F544" t="s">
        <v>2079</v>
      </c>
      <c r="G544" t="s">
        <v>2091</v>
      </c>
      <c r="H544" t="s">
        <v>2095</v>
      </c>
      <c r="I544" t="s">
        <v>2111</v>
      </c>
      <c r="J544">
        <v>1220</v>
      </c>
      <c r="K544">
        <v>16.27</v>
      </c>
      <c r="L544">
        <v>2.2000000000000002</v>
      </c>
      <c r="M544">
        <v>20.6</v>
      </c>
      <c r="N544">
        <v>1</v>
      </c>
      <c r="O544">
        <v>4</v>
      </c>
      <c r="P544">
        <v>82.4</v>
      </c>
      <c r="Q544">
        <v>7.8</v>
      </c>
      <c r="R544">
        <v>74.599999999999994</v>
      </c>
      <c r="AC544" s="1">
        <v>41825</v>
      </c>
    </row>
    <row r="545" spans="1:29" x14ac:dyDescent="0.25">
      <c r="A545" t="s">
        <v>857</v>
      </c>
      <c r="D545" t="s">
        <v>1825</v>
      </c>
      <c r="E545" t="s">
        <v>1978</v>
      </c>
      <c r="F545" t="s">
        <v>2076</v>
      </c>
      <c r="G545" t="s">
        <v>2091</v>
      </c>
      <c r="H545" t="s">
        <v>2092</v>
      </c>
      <c r="I545" t="s">
        <v>2100</v>
      </c>
      <c r="J545">
        <v>2626</v>
      </c>
      <c r="K545">
        <v>23.29</v>
      </c>
      <c r="L545">
        <v>4.8</v>
      </c>
      <c r="M545">
        <v>8.2799999999999994</v>
      </c>
      <c r="N545">
        <v>4</v>
      </c>
      <c r="O545">
        <v>15</v>
      </c>
      <c r="P545">
        <v>496.79999999999995</v>
      </c>
      <c r="Q545">
        <v>9.9</v>
      </c>
      <c r="R545">
        <v>486.9</v>
      </c>
      <c r="AC545" s="1">
        <v>43307</v>
      </c>
    </row>
    <row r="546" spans="1:29" x14ac:dyDescent="0.25">
      <c r="A546" t="s">
        <v>991</v>
      </c>
      <c r="D546" t="s">
        <v>1949</v>
      </c>
      <c r="E546" t="s">
        <v>1991</v>
      </c>
      <c r="F546" t="s">
        <v>2075</v>
      </c>
      <c r="G546" t="s">
        <v>2091</v>
      </c>
      <c r="H546" t="s">
        <v>2092</v>
      </c>
      <c r="I546" t="s">
        <v>2105</v>
      </c>
      <c r="J546">
        <v>1475</v>
      </c>
      <c r="K546">
        <v>31.04</v>
      </c>
      <c r="L546">
        <v>4.8</v>
      </c>
      <c r="M546">
        <v>25.2</v>
      </c>
      <c r="N546">
        <v>1</v>
      </c>
      <c r="O546">
        <v>20</v>
      </c>
      <c r="P546">
        <v>504</v>
      </c>
      <c r="Q546">
        <v>2.1800000000000002</v>
      </c>
      <c r="R546">
        <v>501.82</v>
      </c>
      <c r="AC546" s="1">
        <v>42398</v>
      </c>
    </row>
    <row r="547" spans="1:29" x14ac:dyDescent="0.25">
      <c r="A547" t="s">
        <v>22</v>
      </c>
      <c r="D547" t="s">
        <v>1032</v>
      </c>
      <c r="E547" t="s">
        <v>1978</v>
      </c>
      <c r="F547" t="s">
        <v>2075</v>
      </c>
      <c r="G547" t="s">
        <v>2086</v>
      </c>
      <c r="H547" t="s">
        <v>2092</v>
      </c>
      <c r="I547" t="s">
        <v>2102</v>
      </c>
      <c r="J547">
        <v>1883</v>
      </c>
      <c r="K547">
        <v>40.75</v>
      </c>
      <c r="L547">
        <v>1.5</v>
      </c>
      <c r="M547">
        <v>5.35</v>
      </c>
      <c r="N547">
        <v>5</v>
      </c>
      <c r="O547">
        <v>5</v>
      </c>
      <c r="P547">
        <v>133.75</v>
      </c>
      <c r="Q547">
        <v>4.87</v>
      </c>
      <c r="R547">
        <v>128.88</v>
      </c>
      <c r="AC547" s="1">
        <v>43074</v>
      </c>
    </row>
    <row r="548" spans="1:29" x14ac:dyDescent="0.25">
      <c r="A548" t="s">
        <v>136</v>
      </c>
      <c r="D548" t="s">
        <v>1145</v>
      </c>
      <c r="E548" t="s">
        <v>2002</v>
      </c>
      <c r="F548" t="s">
        <v>2079</v>
      </c>
      <c r="G548" t="s">
        <v>2086</v>
      </c>
      <c r="H548" t="s">
        <v>2092</v>
      </c>
      <c r="I548" t="s">
        <v>2102</v>
      </c>
      <c r="J548">
        <v>3057</v>
      </c>
      <c r="K548">
        <v>44.19</v>
      </c>
      <c r="L548">
        <v>4.7</v>
      </c>
      <c r="M548">
        <v>34.97</v>
      </c>
      <c r="N548">
        <v>3</v>
      </c>
      <c r="O548">
        <v>6</v>
      </c>
      <c r="P548">
        <v>629.46</v>
      </c>
      <c r="Q548">
        <v>0.08</v>
      </c>
      <c r="R548">
        <v>629.38</v>
      </c>
      <c r="AC548" s="1">
        <v>42142</v>
      </c>
    </row>
    <row r="549" spans="1:29" x14ac:dyDescent="0.25">
      <c r="A549" t="s">
        <v>199</v>
      </c>
      <c r="D549" t="s">
        <v>1208</v>
      </c>
      <c r="E549" t="s">
        <v>2018</v>
      </c>
      <c r="F549" t="s">
        <v>2075</v>
      </c>
      <c r="G549" t="s">
        <v>2086</v>
      </c>
      <c r="H549" t="s">
        <v>2096</v>
      </c>
      <c r="I549" t="s">
        <v>2109</v>
      </c>
      <c r="J549">
        <v>80</v>
      </c>
      <c r="K549">
        <v>28.74</v>
      </c>
      <c r="L549">
        <v>2.2000000000000002</v>
      </c>
      <c r="M549">
        <v>19.55</v>
      </c>
      <c r="N549">
        <v>3</v>
      </c>
      <c r="O549">
        <v>19</v>
      </c>
      <c r="P549">
        <v>1114.3500000000001</v>
      </c>
      <c r="Q549">
        <v>6.69</v>
      </c>
      <c r="R549">
        <v>1107.6600000000001</v>
      </c>
      <c r="AC549" s="1">
        <v>42509</v>
      </c>
    </row>
    <row r="550" spans="1:29" x14ac:dyDescent="0.25">
      <c r="A550" t="s">
        <v>420</v>
      </c>
      <c r="D550" t="s">
        <v>1419</v>
      </c>
      <c r="E550" t="s">
        <v>2052</v>
      </c>
      <c r="F550" t="s">
        <v>2079</v>
      </c>
      <c r="G550" t="s">
        <v>2086</v>
      </c>
      <c r="H550" t="s">
        <v>2093</v>
      </c>
      <c r="I550" t="s">
        <v>2108</v>
      </c>
      <c r="J550">
        <v>2207</v>
      </c>
      <c r="K550">
        <v>24.5</v>
      </c>
      <c r="L550">
        <v>4.4000000000000004</v>
      </c>
      <c r="M550">
        <v>10.96</v>
      </c>
      <c r="N550">
        <v>4</v>
      </c>
      <c r="O550">
        <v>12</v>
      </c>
      <c r="P550">
        <v>526.08000000000004</v>
      </c>
      <c r="Q550">
        <v>9.67</v>
      </c>
      <c r="R550">
        <v>516.41</v>
      </c>
      <c r="AC550" s="1">
        <v>43349</v>
      </c>
    </row>
    <row r="551" spans="1:29" x14ac:dyDescent="0.25">
      <c r="A551" t="s">
        <v>429</v>
      </c>
      <c r="D551" t="s">
        <v>1427</v>
      </c>
      <c r="E551" t="s">
        <v>2041</v>
      </c>
      <c r="F551" t="s">
        <v>2077</v>
      </c>
      <c r="G551" t="s">
        <v>2086</v>
      </c>
      <c r="H551" t="s">
        <v>2096</v>
      </c>
      <c r="I551" t="s">
        <v>2098</v>
      </c>
      <c r="J551">
        <v>1118</v>
      </c>
      <c r="K551">
        <v>7.77</v>
      </c>
      <c r="L551">
        <v>3.5</v>
      </c>
      <c r="M551">
        <v>14.23</v>
      </c>
      <c r="N551">
        <v>4</v>
      </c>
      <c r="O551">
        <v>9</v>
      </c>
      <c r="P551">
        <v>512.28</v>
      </c>
      <c r="Q551">
        <v>3.23</v>
      </c>
      <c r="R551">
        <v>509.05</v>
      </c>
      <c r="AC551" s="1">
        <v>40833</v>
      </c>
    </row>
    <row r="552" spans="1:29" x14ac:dyDescent="0.25">
      <c r="A552" t="s">
        <v>433</v>
      </c>
      <c r="D552" t="s">
        <v>1431</v>
      </c>
      <c r="E552" t="s">
        <v>2001</v>
      </c>
      <c r="F552" t="s">
        <v>2075</v>
      </c>
      <c r="G552" t="s">
        <v>2086</v>
      </c>
      <c r="H552" t="s">
        <v>2093</v>
      </c>
      <c r="I552" t="s">
        <v>2107</v>
      </c>
      <c r="J552">
        <v>3644</v>
      </c>
      <c r="K552">
        <v>38.4</v>
      </c>
      <c r="L552">
        <v>5</v>
      </c>
      <c r="M552">
        <v>18.899999999999999</v>
      </c>
      <c r="N552">
        <v>1</v>
      </c>
      <c r="O552">
        <v>16</v>
      </c>
      <c r="P552">
        <v>302.39999999999998</v>
      </c>
      <c r="Q552">
        <v>9.42</v>
      </c>
      <c r="R552">
        <v>292.98</v>
      </c>
      <c r="AC552" s="1">
        <v>41879</v>
      </c>
    </row>
    <row r="553" spans="1:29" x14ac:dyDescent="0.25">
      <c r="A553" t="s">
        <v>464</v>
      </c>
      <c r="D553" t="s">
        <v>1462</v>
      </c>
      <c r="E553" t="s">
        <v>2058</v>
      </c>
      <c r="F553" t="s">
        <v>2082</v>
      </c>
      <c r="G553" t="s">
        <v>2086</v>
      </c>
      <c r="H553" t="s">
        <v>2093</v>
      </c>
      <c r="I553" t="s">
        <v>2102</v>
      </c>
      <c r="J553">
        <v>2049</v>
      </c>
      <c r="K553">
        <v>41.15</v>
      </c>
      <c r="L553">
        <v>1.3</v>
      </c>
      <c r="M553">
        <v>14.6</v>
      </c>
      <c r="N553">
        <v>2</v>
      </c>
      <c r="O553">
        <v>3</v>
      </c>
      <c r="P553">
        <v>87.6</v>
      </c>
      <c r="Q553">
        <v>4.7</v>
      </c>
      <c r="R553">
        <v>82.9</v>
      </c>
      <c r="AC553" s="1">
        <v>42786</v>
      </c>
    </row>
    <row r="554" spans="1:29" x14ac:dyDescent="0.25">
      <c r="A554" t="s">
        <v>576</v>
      </c>
      <c r="D554" t="s">
        <v>1567</v>
      </c>
      <c r="E554" t="s">
        <v>2008</v>
      </c>
      <c r="F554" t="s">
        <v>2077</v>
      </c>
      <c r="G554" t="s">
        <v>2086</v>
      </c>
      <c r="H554" t="s">
        <v>2092</v>
      </c>
      <c r="I554" t="s">
        <v>2103</v>
      </c>
      <c r="J554">
        <v>593</v>
      </c>
      <c r="K554">
        <v>22.62</v>
      </c>
      <c r="L554">
        <v>1.3</v>
      </c>
      <c r="M554">
        <v>15.73</v>
      </c>
      <c r="N554">
        <v>3</v>
      </c>
      <c r="O554">
        <v>2</v>
      </c>
      <c r="P554">
        <v>94.38</v>
      </c>
      <c r="Q554">
        <v>4.7699999999999996</v>
      </c>
      <c r="R554">
        <v>89.61</v>
      </c>
      <c r="AC554" s="1">
        <v>41715</v>
      </c>
    </row>
    <row r="555" spans="1:29" x14ac:dyDescent="0.25">
      <c r="A555" t="s">
        <v>609</v>
      </c>
      <c r="D555" t="s">
        <v>1595</v>
      </c>
      <c r="E555" t="s">
        <v>2029</v>
      </c>
      <c r="F555" t="s">
        <v>2076</v>
      </c>
      <c r="G555" t="s">
        <v>2086</v>
      </c>
      <c r="H555" t="s">
        <v>2093</v>
      </c>
      <c r="I555" t="s">
        <v>2098</v>
      </c>
      <c r="J555">
        <v>3518</v>
      </c>
      <c r="K555">
        <v>13.21</v>
      </c>
      <c r="L555">
        <v>1.2</v>
      </c>
      <c r="M555">
        <v>16.8</v>
      </c>
      <c r="N555">
        <v>1</v>
      </c>
      <c r="O555">
        <v>10</v>
      </c>
      <c r="P555">
        <v>168</v>
      </c>
      <c r="Q555">
        <v>1.1000000000000001</v>
      </c>
      <c r="R555">
        <v>166.9</v>
      </c>
      <c r="AC555" s="1">
        <v>42408</v>
      </c>
    </row>
    <row r="556" spans="1:29" x14ac:dyDescent="0.25">
      <c r="A556" t="s">
        <v>680</v>
      </c>
      <c r="D556" t="s">
        <v>1662</v>
      </c>
      <c r="E556" t="s">
        <v>2047</v>
      </c>
      <c r="F556" t="s">
        <v>2073</v>
      </c>
      <c r="G556" t="s">
        <v>2086</v>
      </c>
      <c r="H556" t="s">
        <v>2093</v>
      </c>
      <c r="I556" t="s">
        <v>2097</v>
      </c>
      <c r="J556">
        <v>1387</v>
      </c>
      <c r="K556">
        <v>16.98</v>
      </c>
      <c r="L556">
        <v>5</v>
      </c>
      <c r="M556">
        <v>25.49</v>
      </c>
      <c r="N556">
        <v>3</v>
      </c>
      <c r="O556">
        <v>7</v>
      </c>
      <c r="P556">
        <v>535.29</v>
      </c>
      <c r="Q556">
        <v>1.72</v>
      </c>
      <c r="R556">
        <v>533.57000000000005</v>
      </c>
      <c r="AC556" s="1">
        <v>41767</v>
      </c>
    </row>
    <row r="557" spans="1:29" x14ac:dyDescent="0.25">
      <c r="A557" t="s">
        <v>894</v>
      </c>
      <c r="D557" t="s">
        <v>1859</v>
      </c>
      <c r="E557" t="s">
        <v>2014</v>
      </c>
      <c r="F557" t="s">
        <v>2079</v>
      </c>
      <c r="G557" t="s">
        <v>2086</v>
      </c>
      <c r="H557" t="s">
        <v>2093</v>
      </c>
      <c r="I557" t="s">
        <v>2103</v>
      </c>
      <c r="J557">
        <v>2913</v>
      </c>
      <c r="K557">
        <v>34.68</v>
      </c>
      <c r="L557">
        <v>1.5</v>
      </c>
      <c r="M557">
        <v>24.2</v>
      </c>
      <c r="N557">
        <v>5</v>
      </c>
      <c r="O557">
        <v>14</v>
      </c>
      <c r="P557">
        <v>1694</v>
      </c>
      <c r="Q557">
        <v>2.4</v>
      </c>
      <c r="R557">
        <v>1691.6</v>
      </c>
      <c r="AC557" s="1">
        <v>42603</v>
      </c>
    </row>
    <row r="558" spans="1:29" x14ac:dyDescent="0.25">
      <c r="A558" t="s">
        <v>948</v>
      </c>
      <c r="D558" t="s">
        <v>1911</v>
      </c>
      <c r="E558" t="s">
        <v>2049</v>
      </c>
      <c r="F558" t="s">
        <v>2079</v>
      </c>
      <c r="G558" t="s">
        <v>2086</v>
      </c>
      <c r="H558" t="s">
        <v>2095</v>
      </c>
      <c r="I558" t="s">
        <v>2111</v>
      </c>
      <c r="J558">
        <v>883</v>
      </c>
      <c r="K558">
        <v>18.47</v>
      </c>
      <c r="L558">
        <v>3.1</v>
      </c>
      <c r="M558">
        <v>35.89</v>
      </c>
      <c r="N558">
        <v>3</v>
      </c>
      <c r="O558">
        <v>9</v>
      </c>
      <c r="P558">
        <v>969.03</v>
      </c>
      <c r="Q558">
        <v>1.83</v>
      </c>
      <c r="R558">
        <v>967.2</v>
      </c>
      <c r="AC558" s="1">
        <v>40597</v>
      </c>
    </row>
    <row r="559" spans="1:29" x14ac:dyDescent="0.25">
      <c r="A559" t="s">
        <v>50</v>
      </c>
      <c r="D559" t="s">
        <v>1060</v>
      </c>
      <c r="E559" t="s">
        <v>1994</v>
      </c>
      <c r="F559" t="s">
        <v>2080</v>
      </c>
      <c r="G559" t="s">
        <v>2089</v>
      </c>
      <c r="H559" t="s">
        <v>2096</v>
      </c>
      <c r="I559" t="s">
        <v>2108</v>
      </c>
      <c r="J559">
        <v>4227</v>
      </c>
      <c r="K559">
        <v>7.69</v>
      </c>
      <c r="L559">
        <v>3.2</v>
      </c>
      <c r="M559">
        <v>7.15</v>
      </c>
      <c r="N559">
        <v>5</v>
      </c>
      <c r="O559">
        <v>18</v>
      </c>
      <c r="P559">
        <v>643.5</v>
      </c>
      <c r="Q559">
        <v>6.53</v>
      </c>
      <c r="R559">
        <v>636.97</v>
      </c>
      <c r="AC559" s="1">
        <v>40864</v>
      </c>
    </row>
    <row r="560" spans="1:29" x14ac:dyDescent="0.25">
      <c r="A560" t="s">
        <v>58</v>
      </c>
      <c r="D560" t="s">
        <v>1068</v>
      </c>
      <c r="E560" t="s">
        <v>2006</v>
      </c>
      <c r="F560" t="s">
        <v>2075</v>
      </c>
      <c r="G560" t="s">
        <v>2089</v>
      </c>
      <c r="H560" t="s">
        <v>2096</v>
      </c>
      <c r="I560" t="s">
        <v>2099</v>
      </c>
      <c r="J560">
        <v>688</v>
      </c>
      <c r="K560">
        <v>17.309999999999999</v>
      </c>
      <c r="L560">
        <v>4.5</v>
      </c>
      <c r="M560">
        <v>8.86</v>
      </c>
      <c r="N560">
        <v>3</v>
      </c>
      <c r="O560">
        <v>19</v>
      </c>
      <c r="P560">
        <v>505.02</v>
      </c>
      <c r="Q560">
        <v>0.14000000000000001</v>
      </c>
      <c r="R560">
        <v>504.88</v>
      </c>
      <c r="AC560" s="1">
        <v>41438</v>
      </c>
    </row>
    <row r="561" spans="1:29" x14ac:dyDescent="0.25">
      <c r="A561" t="s">
        <v>219</v>
      </c>
      <c r="D561" t="s">
        <v>1228</v>
      </c>
      <c r="E561" t="s">
        <v>1982</v>
      </c>
      <c r="F561" t="s">
        <v>2075</v>
      </c>
      <c r="G561" t="s">
        <v>2089</v>
      </c>
      <c r="H561" t="s">
        <v>2094</v>
      </c>
      <c r="I561" t="s">
        <v>2109</v>
      </c>
      <c r="J561">
        <v>4906</v>
      </c>
      <c r="K561">
        <v>17.010000000000002</v>
      </c>
      <c r="L561">
        <v>2.9</v>
      </c>
      <c r="M561">
        <v>33.47</v>
      </c>
      <c r="N561">
        <v>4</v>
      </c>
      <c r="O561">
        <v>10</v>
      </c>
      <c r="P561">
        <v>1338.8</v>
      </c>
      <c r="Q561">
        <v>8.8000000000000007</v>
      </c>
      <c r="R561">
        <v>1330</v>
      </c>
      <c r="AC561" s="1">
        <v>40391</v>
      </c>
    </row>
    <row r="562" spans="1:29" x14ac:dyDescent="0.25">
      <c r="A562" t="s">
        <v>239</v>
      </c>
      <c r="D562" t="s">
        <v>1246</v>
      </c>
      <c r="E562" t="s">
        <v>2053</v>
      </c>
      <c r="F562" t="s">
        <v>2076</v>
      </c>
      <c r="G562" t="s">
        <v>2089</v>
      </c>
      <c r="H562" t="s">
        <v>2094</v>
      </c>
      <c r="I562" t="s">
        <v>2111</v>
      </c>
      <c r="J562">
        <v>241</v>
      </c>
      <c r="K562">
        <v>14.01</v>
      </c>
      <c r="L562">
        <v>1.5</v>
      </c>
      <c r="M562">
        <v>37.49</v>
      </c>
      <c r="N562">
        <v>4</v>
      </c>
      <c r="O562">
        <v>6</v>
      </c>
      <c r="P562">
        <v>899.76</v>
      </c>
      <c r="Q562">
        <v>5.39</v>
      </c>
      <c r="R562">
        <v>894.37</v>
      </c>
      <c r="AC562" s="1">
        <v>43363</v>
      </c>
    </row>
    <row r="563" spans="1:29" x14ac:dyDescent="0.25">
      <c r="A563" t="s">
        <v>283</v>
      </c>
      <c r="D563" t="s">
        <v>1288</v>
      </c>
      <c r="E563" t="s">
        <v>2061</v>
      </c>
      <c r="F563" t="s">
        <v>2079</v>
      </c>
      <c r="G563" t="s">
        <v>2089</v>
      </c>
      <c r="H563" t="s">
        <v>2095</v>
      </c>
      <c r="I563" t="s">
        <v>2099</v>
      </c>
      <c r="J563">
        <v>2438</v>
      </c>
      <c r="K563">
        <v>22.17</v>
      </c>
      <c r="L563">
        <v>3.8</v>
      </c>
      <c r="M563">
        <v>21.8</v>
      </c>
      <c r="N563">
        <v>1</v>
      </c>
      <c r="O563">
        <v>1</v>
      </c>
      <c r="P563">
        <v>21.8</v>
      </c>
      <c r="Q563">
        <v>4.43</v>
      </c>
      <c r="R563">
        <v>17.37</v>
      </c>
      <c r="AC563" s="1">
        <v>42638</v>
      </c>
    </row>
    <row r="564" spans="1:29" x14ac:dyDescent="0.25">
      <c r="A564" t="s">
        <v>438</v>
      </c>
      <c r="D564" t="s">
        <v>1436</v>
      </c>
      <c r="E564" t="s">
        <v>2009</v>
      </c>
      <c r="F564" t="s">
        <v>2082</v>
      </c>
      <c r="G564" t="s">
        <v>2089</v>
      </c>
      <c r="H564" t="s">
        <v>2096</v>
      </c>
      <c r="I564" t="s">
        <v>2100</v>
      </c>
      <c r="J564">
        <v>4279</v>
      </c>
      <c r="K564">
        <v>15.3</v>
      </c>
      <c r="L564">
        <v>1.6</v>
      </c>
      <c r="M564">
        <v>34.26</v>
      </c>
      <c r="N564">
        <v>1</v>
      </c>
      <c r="O564">
        <v>20</v>
      </c>
      <c r="P564">
        <v>685.19999999999993</v>
      </c>
      <c r="Q564">
        <v>3.21</v>
      </c>
      <c r="R564">
        <v>681.99</v>
      </c>
      <c r="AC564" s="1">
        <v>41582</v>
      </c>
    </row>
    <row r="565" spans="1:29" x14ac:dyDescent="0.25">
      <c r="A565" t="s">
        <v>470</v>
      </c>
      <c r="D565" t="s">
        <v>1468</v>
      </c>
      <c r="E565" t="s">
        <v>2027</v>
      </c>
      <c r="F565" t="s">
        <v>2077</v>
      </c>
      <c r="G565" t="s">
        <v>2089</v>
      </c>
      <c r="H565" t="s">
        <v>2094</v>
      </c>
      <c r="I565" t="s">
        <v>2106</v>
      </c>
      <c r="J565">
        <v>3853</v>
      </c>
      <c r="K565">
        <v>35.15</v>
      </c>
      <c r="L565">
        <v>2</v>
      </c>
      <c r="M565">
        <v>37.65</v>
      </c>
      <c r="N565">
        <v>5</v>
      </c>
      <c r="O565">
        <v>14</v>
      </c>
      <c r="P565">
        <v>2635.5</v>
      </c>
      <c r="Q565">
        <v>9.35</v>
      </c>
      <c r="R565">
        <v>2626.15</v>
      </c>
      <c r="AC565" s="1">
        <v>40324</v>
      </c>
    </row>
    <row r="566" spans="1:29" x14ac:dyDescent="0.25">
      <c r="A566" t="s">
        <v>595</v>
      </c>
      <c r="D566" t="s">
        <v>1582</v>
      </c>
      <c r="E566" t="s">
        <v>2013</v>
      </c>
      <c r="F566" t="s">
        <v>2074</v>
      </c>
      <c r="G566" t="s">
        <v>2089</v>
      </c>
      <c r="H566" t="s">
        <v>2095</v>
      </c>
      <c r="I566" t="s">
        <v>2097</v>
      </c>
      <c r="J566">
        <v>3118</v>
      </c>
      <c r="K566">
        <v>17.61</v>
      </c>
      <c r="L566">
        <v>4.7</v>
      </c>
      <c r="M566">
        <v>27.68</v>
      </c>
      <c r="N566">
        <v>1</v>
      </c>
      <c r="O566">
        <v>17</v>
      </c>
      <c r="P566">
        <v>470.56</v>
      </c>
      <c r="Q566">
        <v>3.64</v>
      </c>
      <c r="R566">
        <v>466.92</v>
      </c>
      <c r="AC566" s="1">
        <v>42405</v>
      </c>
    </row>
    <row r="567" spans="1:29" x14ac:dyDescent="0.25">
      <c r="A567" t="s">
        <v>661</v>
      </c>
      <c r="D567" t="s">
        <v>1645</v>
      </c>
      <c r="E567" t="s">
        <v>2067</v>
      </c>
      <c r="F567" t="s">
        <v>2078</v>
      </c>
      <c r="G567" t="s">
        <v>2089</v>
      </c>
      <c r="H567" t="s">
        <v>2093</v>
      </c>
      <c r="I567" t="s">
        <v>2108</v>
      </c>
      <c r="J567">
        <v>2989</v>
      </c>
      <c r="K567">
        <v>28.74</v>
      </c>
      <c r="L567">
        <v>4.9000000000000004</v>
      </c>
      <c r="M567">
        <v>32.76</v>
      </c>
      <c r="N567">
        <v>2</v>
      </c>
      <c r="O567">
        <v>9</v>
      </c>
      <c r="P567">
        <v>589.67999999999995</v>
      </c>
      <c r="Q567">
        <v>6.43</v>
      </c>
      <c r="R567">
        <v>583.25</v>
      </c>
      <c r="AC567" s="1">
        <v>42268</v>
      </c>
    </row>
    <row r="568" spans="1:29" x14ac:dyDescent="0.25">
      <c r="A568" t="s">
        <v>709</v>
      </c>
      <c r="D568" t="s">
        <v>1688</v>
      </c>
      <c r="E568" t="s">
        <v>1999</v>
      </c>
      <c r="F568" t="s">
        <v>2081</v>
      </c>
      <c r="G568" t="s">
        <v>2089</v>
      </c>
      <c r="H568" t="s">
        <v>2096</v>
      </c>
      <c r="I568" t="s">
        <v>2102</v>
      </c>
      <c r="J568">
        <v>422</v>
      </c>
      <c r="K568">
        <v>13.27</v>
      </c>
      <c r="L568">
        <v>1.9</v>
      </c>
      <c r="M568">
        <v>35.1</v>
      </c>
      <c r="N568">
        <v>3</v>
      </c>
      <c r="O568">
        <v>8</v>
      </c>
      <c r="P568">
        <v>842.40000000000009</v>
      </c>
      <c r="Q568">
        <v>4.8499999999999996</v>
      </c>
      <c r="R568">
        <v>837.55</v>
      </c>
      <c r="AC568" s="1">
        <v>42025</v>
      </c>
    </row>
    <row r="569" spans="1:29" x14ac:dyDescent="0.25">
      <c r="A569" t="s">
        <v>736</v>
      </c>
      <c r="D569" t="s">
        <v>1714</v>
      </c>
      <c r="E569" t="s">
        <v>1982</v>
      </c>
      <c r="F569" t="s">
        <v>2079</v>
      </c>
      <c r="G569" t="s">
        <v>2089</v>
      </c>
      <c r="H569" t="s">
        <v>2096</v>
      </c>
      <c r="I569" t="s">
        <v>2106</v>
      </c>
      <c r="J569">
        <v>4742</v>
      </c>
      <c r="K569">
        <v>28.11</v>
      </c>
      <c r="L569">
        <v>3.2</v>
      </c>
      <c r="M569">
        <v>8.6300000000000008</v>
      </c>
      <c r="N569">
        <v>5</v>
      </c>
      <c r="O569">
        <v>15</v>
      </c>
      <c r="P569">
        <v>647.25000000000011</v>
      </c>
      <c r="Q569">
        <v>6.56</v>
      </c>
      <c r="R569">
        <v>640.69000000000005</v>
      </c>
      <c r="AC569" s="1">
        <v>42805</v>
      </c>
    </row>
    <row r="570" spans="1:29" x14ac:dyDescent="0.25">
      <c r="A570" t="s">
        <v>67</v>
      </c>
      <c r="D570" t="s">
        <v>1077</v>
      </c>
      <c r="E570" t="s">
        <v>2010</v>
      </c>
      <c r="F570" t="s">
        <v>2082</v>
      </c>
      <c r="G570" t="s">
        <v>2084</v>
      </c>
      <c r="H570" t="s">
        <v>2093</v>
      </c>
      <c r="I570" t="s">
        <v>2103</v>
      </c>
      <c r="J570">
        <v>3991</v>
      </c>
      <c r="K570">
        <v>17.12</v>
      </c>
      <c r="L570">
        <v>1.5</v>
      </c>
      <c r="M570">
        <v>23.6</v>
      </c>
      <c r="N570">
        <v>5</v>
      </c>
      <c r="O570">
        <v>11</v>
      </c>
      <c r="P570">
        <v>1298</v>
      </c>
      <c r="Q570">
        <v>2.93</v>
      </c>
      <c r="R570">
        <v>1295.07</v>
      </c>
      <c r="AC570" s="1">
        <v>41818</v>
      </c>
    </row>
    <row r="571" spans="1:29" x14ac:dyDescent="0.25">
      <c r="A571" t="s">
        <v>234</v>
      </c>
      <c r="D571" t="s">
        <v>1242</v>
      </c>
      <c r="E571" t="s">
        <v>2022</v>
      </c>
      <c r="F571" t="s">
        <v>2073</v>
      </c>
      <c r="G571" t="s">
        <v>2084</v>
      </c>
      <c r="H571" t="s">
        <v>2096</v>
      </c>
      <c r="I571" t="s">
        <v>2097</v>
      </c>
      <c r="J571">
        <v>3472</v>
      </c>
      <c r="K571">
        <v>13.23</v>
      </c>
      <c r="L571">
        <v>2.9</v>
      </c>
      <c r="M571">
        <v>13.89</v>
      </c>
      <c r="N571">
        <v>1</v>
      </c>
      <c r="O571">
        <v>1</v>
      </c>
      <c r="P571">
        <v>13.89</v>
      </c>
      <c r="Q571">
        <v>4.8</v>
      </c>
      <c r="R571">
        <v>9.09</v>
      </c>
      <c r="AC571" s="1">
        <v>43291</v>
      </c>
    </row>
    <row r="572" spans="1:29" x14ac:dyDescent="0.25">
      <c r="A572" t="s">
        <v>347</v>
      </c>
      <c r="D572" t="s">
        <v>1350</v>
      </c>
      <c r="E572" t="s">
        <v>2031</v>
      </c>
      <c r="F572" t="s">
        <v>2074</v>
      </c>
      <c r="G572" t="s">
        <v>2084</v>
      </c>
      <c r="H572" t="s">
        <v>2095</v>
      </c>
      <c r="I572" t="s">
        <v>2108</v>
      </c>
      <c r="J572">
        <v>3203</v>
      </c>
      <c r="K572">
        <v>27.29</v>
      </c>
      <c r="L572">
        <v>1.7</v>
      </c>
      <c r="M572">
        <v>30.51</v>
      </c>
      <c r="N572">
        <v>4</v>
      </c>
      <c r="O572">
        <v>4</v>
      </c>
      <c r="P572">
        <v>488.16</v>
      </c>
      <c r="Q572">
        <v>8.93</v>
      </c>
      <c r="R572">
        <v>479.23</v>
      </c>
      <c r="AC572" s="1">
        <v>42017</v>
      </c>
    </row>
    <row r="573" spans="1:29" x14ac:dyDescent="0.25">
      <c r="A573" t="s">
        <v>490</v>
      </c>
      <c r="D573" t="s">
        <v>1488</v>
      </c>
      <c r="E573" t="s">
        <v>1987</v>
      </c>
      <c r="F573" t="s">
        <v>2079</v>
      </c>
      <c r="G573" t="s">
        <v>2084</v>
      </c>
      <c r="H573" t="s">
        <v>2092</v>
      </c>
      <c r="I573" t="s">
        <v>2111</v>
      </c>
      <c r="J573">
        <v>2494</v>
      </c>
      <c r="K573">
        <v>35.770000000000003</v>
      </c>
      <c r="L573">
        <v>3.6</v>
      </c>
      <c r="M573">
        <v>8.9499999999999993</v>
      </c>
      <c r="N573">
        <v>3</v>
      </c>
      <c r="O573">
        <v>20</v>
      </c>
      <c r="P573">
        <v>537</v>
      </c>
      <c r="Q573">
        <v>1.74</v>
      </c>
      <c r="R573">
        <v>535.26</v>
      </c>
      <c r="AC573" s="1">
        <v>41494</v>
      </c>
    </row>
    <row r="574" spans="1:29" x14ac:dyDescent="0.25">
      <c r="A574" t="s">
        <v>843</v>
      </c>
      <c r="D574" t="s">
        <v>1812</v>
      </c>
      <c r="E574" t="s">
        <v>2045</v>
      </c>
      <c r="F574" t="s">
        <v>2077</v>
      </c>
      <c r="G574" t="s">
        <v>2084</v>
      </c>
      <c r="H574" t="s">
        <v>2094</v>
      </c>
      <c r="I574" t="s">
        <v>2101</v>
      </c>
      <c r="J574">
        <v>2863</v>
      </c>
      <c r="K574">
        <v>22.28</v>
      </c>
      <c r="L574">
        <v>3</v>
      </c>
      <c r="M574">
        <v>20.81</v>
      </c>
      <c r="N574">
        <v>3</v>
      </c>
      <c r="O574">
        <v>10</v>
      </c>
      <c r="P574">
        <v>624.29999999999995</v>
      </c>
      <c r="Q574">
        <v>6.45</v>
      </c>
      <c r="R574">
        <v>617.85</v>
      </c>
      <c r="AC574" s="1">
        <v>42271</v>
      </c>
    </row>
    <row r="575" spans="1:29" x14ac:dyDescent="0.25">
      <c r="A575" t="s">
        <v>38</v>
      </c>
      <c r="D575" t="s">
        <v>1048</v>
      </c>
      <c r="E575" t="s">
        <v>1990</v>
      </c>
      <c r="F575" t="s">
        <v>2077</v>
      </c>
      <c r="G575" t="s">
        <v>2090</v>
      </c>
      <c r="H575" t="s">
        <v>2094</v>
      </c>
      <c r="I575" t="s">
        <v>2098</v>
      </c>
      <c r="J575">
        <v>2534</v>
      </c>
      <c r="K575">
        <v>17.649999999999999</v>
      </c>
      <c r="L575">
        <v>4.9000000000000004</v>
      </c>
      <c r="M575">
        <v>35.6</v>
      </c>
      <c r="N575">
        <v>1</v>
      </c>
      <c r="O575">
        <v>5</v>
      </c>
      <c r="P575">
        <v>178</v>
      </c>
      <c r="Q575">
        <v>8.5500000000000007</v>
      </c>
      <c r="R575">
        <v>169.45</v>
      </c>
      <c r="AC575" s="1">
        <v>43018</v>
      </c>
    </row>
    <row r="576" spans="1:29" x14ac:dyDescent="0.25">
      <c r="A576" t="s">
        <v>116</v>
      </c>
      <c r="D576" t="s">
        <v>1126</v>
      </c>
      <c r="E576" t="s">
        <v>2030</v>
      </c>
      <c r="F576" t="s">
        <v>2078</v>
      </c>
      <c r="G576" t="s">
        <v>2090</v>
      </c>
      <c r="H576" t="s">
        <v>2095</v>
      </c>
      <c r="I576" t="s">
        <v>2103</v>
      </c>
      <c r="J576">
        <v>2566</v>
      </c>
      <c r="K576">
        <v>8.76</v>
      </c>
      <c r="L576">
        <v>1.4</v>
      </c>
      <c r="M576">
        <v>31.29</v>
      </c>
      <c r="N576">
        <v>2</v>
      </c>
      <c r="O576">
        <v>15</v>
      </c>
      <c r="P576">
        <v>938.69999999999993</v>
      </c>
      <c r="Q576">
        <v>3</v>
      </c>
      <c r="R576">
        <v>935.7</v>
      </c>
      <c r="AC576" s="1">
        <v>41973</v>
      </c>
    </row>
    <row r="577" spans="1:29" x14ac:dyDescent="0.25">
      <c r="A577" t="s">
        <v>269</v>
      </c>
      <c r="D577" t="s">
        <v>1275</v>
      </c>
      <c r="E577" t="s">
        <v>1980</v>
      </c>
      <c r="F577" t="s">
        <v>2076</v>
      </c>
      <c r="G577" t="s">
        <v>2090</v>
      </c>
      <c r="H577" t="s">
        <v>2092</v>
      </c>
      <c r="I577" t="s">
        <v>2104</v>
      </c>
      <c r="J577">
        <v>1156</v>
      </c>
      <c r="K577">
        <v>15.91</v>
      </c>
      <c r="L577">
        <v>3</v>
      </c>
      <c r="M577">
        <v>12.08</v>
      </c>
      <c r="N577">
        <v>4</v>
      </c>
      <c r="O577">
        <v>7</v>
      </c>
      <c r="P577">
        <v>338.24</v>
      </c>
      <c r="Q577">
        <v>9.1300000000000008</v>
      </c>
      <c r="R577">
        <v>329.11</v>
      </c>
      <c r="AC577" s="1">
        <v>40230</v>
      </c>
    </row>
    <row r="578" spans="1:29" x14ac:dyDescent="0.25">
      <c r="A578" t="s">
        <v>311</v>
      </c>
      <c r="D578" t="s">
        <v>1315</v>
      </c>
      <c r="E578" t="s">
        <v>2039</v>
      </c>
      <c r="F578" t="s">
        <v>2075</v>
      </c>
      <c r="G578" t="s">
        <v>2090</v>
      </c>
      <c r="H578" t="s">
        <v>2092</v>
      </c>
      <c r="I578" t="s">
        <v>2110</v>
      </c>
      <c r="J578">
        <v>2028</v>
      </c>
      <c r="K578">
        <v>33</v>
      </c>
      <c r="L578">
        <v>1.1000000000000001</v>
      </c>
      <c r="M578">
        <v>36</v>
      </c>
      <c r="N578">
        <v>4</v>
      </c>
      <c r="O578">
        <v>8</v>
      </c>
      <c r="P578">
        <v>1152</v>
      </c>
      <c r="Q578">
        <v>7.16</v>
      </c>
      <c r="R578">
        <v>1144.8399999999999</v>
      </c>
      <c r="AC578" s="1">
        <v>41717</v>
      </c>
    </row>
    <row r="579" spans="1:29" x14ac:dyDescent="0.25">
      <c r="A579" t="s">
        <v>621</v>
      </c>
      <c r="D579" t="s">
        <v>1606</v>
      </c>
      <c r="E579" t="s">
        <v>2046</v>
      </c>
      <c r="F579" t="s">
        <v>2073</v>
      </c>
      <c r="G579" t="s">
        <v>2090</v>
      </c>
      <c r="H579" t="s">
        <v>2095</v>
      </c>
      <c r="I579" t="s">
        <v>2109</v>
      </c>
      <c r="J579">
        <v>2867</v>
      </c>
      <c r="K579">
        <v>37.81</v>
      </c>
      <c r="L579">
        <v>3.9</v>
      </c>
      <c r="M579">
        <v>39.49</v>
      </c>
      <c r="N579">
        <v>2</v>
      </c>
      <c r="O579">
        <v>20</v>
      </c>
      <c r="P579">
        <v>1579.6000000000001</v>
      </c>
      <c r="Q579">
        <v>7.2</v>
      </c>
      <c r="R579">
        <v>1572.4</v>
      </c>
      <c r="AC579" s="1">
        <v>42083</v>
      </c>
    </row>
    <row r="580" spans="1:29" x14ac:dyDescent="0.25">
      <c r="A580" t="s">
        <v>678</v>
      </c>
      <c r="D580" t="s">
        <v>1660</v>
      </c>
      <c r="E580" t="s">
        <v>2015</v>
      </c>
      <c r="F580" t="s">
        <v>2082</v>
      </c>
      <c r="G580" t="s">
        <v>2090</v>
      </c>
      <c r="H580" t="s">
        <v>2092</v>
      </c>
      <c r="I580" t="s">
        <v>2111</v>
      </c>
      <c r="J580">
        <v>871</v>
      </c>
      <c r="K580">
        <v>8.68</v>
      </c>
      <c r="L580">
        <v>1</v>
      </c>
      <c r="M580">
        <v>28.45</v>
      </c>
      <c r="N580">
        <v>3</v>
      </c>
      <c r="O580">
        <v>13</v>
      </c>
      <c r="P580">
        <v>1109.55</v>
      </c>
      <c r="Q580">
        <v>0.95</v>
      </c>
      <c r="R580">
        <v>1108.5999999999999</v>
      </c>
      <c r="AC580" s="1">
        <v>42402</v>
      </c>
    </row>
    <row r="581" spans="1:29" x14ac:dyDescent="0.25">
      <c r="A581" t="s">
        <v>699</v>
      </c>
      <c r="D581" t="s">
        <v>1680</v>
      </c>
      <c r="E581" t="s">
        <v>2007</v>
      </c>
      <c r="F581" t="s">
        <v>2075</v>
      </c>
      <c r="G581" t="s">
        <v>2090</v>
      </c>
      <c r="H581" t="s">
        <v>2092</v>
      </c>
      <c r="I581" t="s">
        <v>2105</v>
      </c>
      <c r="J581">
        <v>2678</v>
      </c>
      <c r="K581">
        <v>40.82</v>
      </c>
      <c r="L581">
        <v>3.8</v>
      </c>
      <c r="M581">
        <v>6.39</v>
      </c>
      <c r="N581">
        <v>3</v>
      </c>
      <c r="O581">
        <v>9</v>
      </c>
      <c r="P581">
        <v>172.52999999999997</v>
      </c>
      <c r="Q581">
        <v>3.01</v>
      </c>
      <c r="R581">
        <v>169.52</v>
      </c>
      <c r="AC581" s="1">
        <v>42503</v>
      </c>
    </row>
    <row r="582" spans="1:29" x14ac:dyDescent="0.25">
      <c r="A582" t="s">
        <v>912</v>
      </c>
      <c r="D582" t="s">
        <v>1877</v>
      </c>
      <c r="E582" t="s">
        <v>2011</v>
      </c>
      <c r="F582" t="s">
        <v>2075</v>
      </c>
      <c r="G582" t="s">
        <v>2090</v>
      </c>
      <c r="H582" t="s">
        <v>2096</v>
      </c>
      <c r="I582" t="s">
        <v>2098</v>
      </c>
      <c r="J582">
        <v>208</v>
      </c>
      <c r="K582">
        <v>10.54</v>
      </c>
      <c r="L582">
        <v>1.2</v>
      </c>
      <c r="M582">
        <v>25.98</v>
      </c>
      <c r="N582">
        <v>4</v>
      </c>
      <c r="O582">
        <v>8</v>
      </c>
      <c r="P582">
        <v>831.36</v>
      </c>
      <c r="Q582">
        <v>1.99</v>
      </c>
      <c r="R582">
        <v>829.37</v>
      </c>
      <c r="AC582" s="1">
        <v>42583</v>
      </c>
    </row>
    <row r="583" spans="1:29" x14ac:dyDescent="0.25">
      <c r="A583" t="s">
        <v>36</v>
      </c>
      <c r="D583" t="s">
        <v>1046</v>
      </c>
      <c r="E583" t="s">
        <v>1990</v>
      </c>
      <c r="F583" t="s">
        <v>2079</v>
      </c>
      <c r="G583" t="s">
        <v>2083</v>
      </c>
      <c r="H583" t="s">
        <v>2093</v>
      </c>
      <c r="I583" t="s">
        <v>2098</v>
      </c>
      <c r="J583">
        <v>3215</v>
      </c>
      <c r="K583">
        <v>14.82</v>
      </c>
      <c r="L583">
        <v>2.2999999999999998</v>
      </c>
      <c r="M583">
        <v>29.91</v>
      </c>
      <c r="N583">
        <v>5</v>
      </c>
      <c r="O583">
        <v>7</v>
      </c>
      <c r="P583">
        <v>1046.8500000000001</v>
      </c>
      <c r="Q583">
        <v>7.84</v>
      </c>
      <c r="R583">
        <v>1039.01</v>
      </c>
      <c r="AC583" s="1">
        <v>41504</v>
      </c>
    </row>
    <row r="584" spans="1:29" x14ac:dyDescent="0.25">
      <c r="A584" t="s">
        <v>443</v>
      </c>
      <c r="D584" t="s">
        <v>1441</v>
      </c>
      <c r="E584" t="s">
        <v>2015</v>
      </c>
      <c r="F584" t="s">
        <v>2075</v>
      </c>
      <c r="G584" t="s">
        <v>2083</v>
      </c>
      <c r="H584" t="s">
        <v>2093</v>
      </c>
      <c r="I584" t="s">
        <v>2109</v>
      </c>
      <c r="J584">
        <v>4918</v>
      </c>
      <c r="K584">
        <v>14.28</v>
      </c>
      <c r="L584">
        <v>4.2</v>
      </c>
      <c r="M584">
        <v>24.33</v>
      </c>
      <c r="N584">
        <v>4</v>
      </c>
      <c r="O584">
        <v>18</v>
      </c>
      <c r="P584">
        <v>1751.7599999999998</v>
      </c>
      <c r="Q584">
        <v>0.71</v>
      </c>
      <c r="R584">
        <v>1751.05</v>
      </c>
      <c r="AC584" s="1">
        <v>42356</v>
      </c>
    </row>
    <row r="585" spans="1:29" x14ac:dyDescent="0.25">
      <c r="A585" t="s">
        <v>594</v>
      </c>
      <c r="D585" t="s">
        <v>1581</v>
      </c>
      <c r="E585" t="s">
        <v>2014</v>
      </c>
      <c r="F585" t="s">
        <v>2081</v>
      </c>
      <c r="G585" t="s">
        <v>2083</v>
      </c>
      <c r="H585" t="s">
        <v>2093</v>
      </c>
      <c r="I585" t="s">
        <v>2103</v>
      </c>
      <c r="J585">
        <v>2402</v>
      </c>
      <c r="K585">
        <v>45.22</v>
      </c>
      <c r="L585">
        <v>5</v>
      </c>
      <c r="M585">
        <v>7.39</v>
      </c>
      <c r="N585">
        <v>1</v>
      </c>
      <c r="O585">
        <v>10</v>
      </c>
      <c r="P585">
        <v>73.899999999999991</v>
      </c>
      <c r="Q585">
        <v>2.52</v>
      </c>
      <c r="R585">
        <v>71.38</v>
      </c>
      <c r="AC585" s="1">
        <v>40746</v>
      </c>
    </row>
    <row r="586" spans="1:29" x14ac:dyDescent="0.25">
      <c r="A586" t="s">
        <v>614</v>
      </c>
      <c r="D586" t="s">
        <v>1600</v>
      </c>
      <c r="E586" t="s">
        <v>2020</v>
      </c>
      <c r="F586" t="s">
        <v>2079</v>
      </c>
      <c r="G586" t="s">
        <v>2083</v>
      </c>
      <c r="H586" t="s">
        <v>2093</v>
      </c>
      <c r="I586" t="s">
        <v>2104</v>
      </c>
      <c r="J586">
        <v>348</v>
      </c>
      <c r="K586">
        <v>41.94</v>
      </c>
      <c r="L586">
        <v>1.2</v>
      </c>
      <c r="M586">
        <v>39.729999999999997</v>
      </c>
      <c r="N586">
        <v>5</v>
      </c>
      <c r="O586">
        <v>4</v>
      </c>
      <c r="P586">
        <v>794.59999999999991</v>
      </c>
      <c r="Q586">
        <v>7.69</v>
      </c>
      <c r="R586">
        <v>786.91</v>
      </c>
      <c r="AC586" s="1">
        <v>42423</v>
      </c>
    </row>
    <row r="587" spans="1:29" x14ac:dyDescent="0.25">
      <c r="A587" t="s">
        <v>688</v>
      </c>
      <c r="D587" t="s">
        <v>1670</v>
      </c>
      <c r="E587" t="s">
        <v>2059</v>
      </c>
      <c r="F587" t="s">
        <v>2077</v>
      </c>
      <c r="G587" t="s">
        <v>2083</v>
      </c>
      <c r="H587" t="s">
        <v>2093</v>
      </c>
      <c r="I587" t="s">
        <v>2103</v>
      </c>
      <c r="J587">
        <v>1551</v>
      </c>
      <c r="K587">
        <v>7.94</v>
      </c>
      <c r="L587">
        <v>2</v>
      </c>
      <c r="M587">
        <v>32.35</v>
      </c>
      <c r="N587">
        <v>1</v>
      </c>
      <c r="O587">
        <v>5</v>
      </c>
      <c r="P587">
        <v>161.75</v>
      </c>
      <c r="Q587">
        <v>0.05</v>
      </c>
      <c r="R587">
        <v>161.69999999999999</v>
      </c>
      <c r="AC587" s="1">
        <v>42177</v>
      </c>
    </row>
    <row r="588" spans="1:29" x14ac:dyDescent="0.25">
      <c r="A588" t="s">
        <v>696</v>
      </c>
      <c r="D588" t="s">
        <v>1677</v>
      </c>
      <c r="E588" t="s">
        <v>2019</v>
      </c>
      <c r="F588" t="s">
        <v>2077</v>
      </c>
      <c r="G588" t="s">
        <v>2083</v>
      </c>
      <c r="H588" t="s">
        <v>2095</v>
      </c>
      <c r="I588" t="s">
        <v>2102</v>
      </c>
      <c r="J588">
        <v>2715</v>
      </c>
      <c r="K588">
        <v>48.42</v>
      </c>
      <c r="L588">
        <v>2.9</v>
      </c>
      <c r="M588">
        <v>25.36</v>
      </c>
      <c r="N588">
        <v>4</v>
      </c>
      <c r="O588">
        <v>10</v>
      </c>
      <c r="P588">
        <v>1014.4</v>
      </c>
      <c r="Q588">
        <v>1.97</v>
      </c>
      <c r="R588">
        <v>1012.43</v>
      </c>
      <c r="AC588" s="1">
        <v>40197</v>
      </c>
    </row>
    <row r="589" spans="1:29" x14ac:dyDescent="0.25">
      <c r="A589" t="s">
        <v>773</v>
      </c>
      <c r="D589" t="s">
        <v>1749</v>
      </c>
      <c r="E589" t="s">
        <v>1983</v>
      </c>
      <c r="F589" t="s">
        <v>2076</v>
      </c>
      <c r="G589" t="s">
        <v>2083</v>
      </c>
      <c r="H589" t="s">
        <v>2096</v>
      </c>
      <c r="I589" t="s">
        <v>2104</v>
      </c>
      <c r="J589">
        <v>3534</v>
      </c>
      <c r="K589">
        <v>10.08</v>
      </c>
      <c r="L589">
        <v>4.4000000000000004</v>
      </c>
      <c r="M589">
        <v>12.38</v>
      </c>
      <c r="N589">
        <v>5</v>
      </c>
      <c r="O589">
        <v>16</v>
      </c>
      <c r="P589">
        <v>990.40000000000009</v>
      </c>
      <c r="Q589">
        <v>3.19</v>
      </c>
      <c r="R589">
        <v>987.21</v>
      </c>
      <c r="AC589" s="1">
        <v>40449</v>
      </c>
    </row>
    <row r="590" spans="1:29" x14ac:dyDescent="0.25">
      <c r="A590" t="s">
        <v>944</v>
      </c>
      <c r="D590" t="s">
        <v>1907</v>
      </c>
      <c r="E590" t="s">
        <v>2038</v>
      </c>
      <c r="F590" t="s">
        <v>2080</v>
      </c>
      <c r="G590" t="s">
        <v>2083</v>
      </c>
      <c r="H590" t="s">
        <v>2094</v>
      </c>
      <c r="I590" t="s">
        <v>2100</v>
      </c>
      <c r="J590">
        <v>3600</v>
      </c>
      <c r="K590">
        <v>13.68</v>
      </c>
      <c r="L590">
        <v>1.9</v>
      </c>
      <c r="M590">
        <v>22.82</v>
      </c>
      <c r="N590">
        <v>2</v>
      </c>
      <c r="O590">
        <v>9</v>
      </c>
      <c r="P590">
        <v>410.76</v>
      </c>
      <c r="Q590">
        <v>7.93</v>
      </c>
      <c r="R590">
        <v>402.83</v>
      </c>
      <c r="AC590" s="1">
        <v>40636</v>
      </c>
    </row>
    <row r="591" spans="1:29" x14ac:dyDescent="0.25">
      <c r="A591" t="s">
        <v>99</v>
      </c>
      <c r="D591" t="s">
        <v>1109</v>
      </c>
      <c r="E591" t="s">
        <v>1988</v>
      </c>
      <c r="F591" t="s">
        <v>2078</v>
      </c>
      <c r="G591" t="s">
        <v>2087</v>
      </c>
      <c r="H591" t="s">
        <v>2094</v>
      </c>
      <c r="I591" t="s">
        <v>2103</v>
      </c>
      <c r="J591">
        <v>4940</v>
      </c>
      <c r="K591">
        <v>21.4</v>
      </c>
      <c r="L591">
        <v>4.0999999999999996</v>
      </c>
      <c r="M591">
        <v>19</v>
      </c>
      <c r="N591">
        <v>5</v>
      </c>
      <c r="O591">
        <v>18</v>
      </c>
      <c r="P591">
        <v>1710</v>
      </c>
      <c r="Q591">
        <v>6.52</v>
      </c>
      <c r="R591">
        <v>1703.48</v>
      </c>
      <c r="AC591" s="1">
        <v>42934</v>
      </c>
    </row>
    <row r="592" spans="1:29" x14ac:dyDescent="0.25">
      <c r="A592" t="s">
        <v>278</v>
      </c>
      <c r="D592" t="s">
        <v>1283</v>
      </c>
      <c r="E592" t="s">
        <v>2038</v>
      </c>
      <c r="F592" t="s">
        <v>2080</v>
      </c>
      <c r="G592" t="s">
        <v>2087</v>
      </c>
      <c r="H592" t="s">
        <v>2094</v>
      </c>
      <c r="I592" t="s">
        <v>2109</v>
      </c>
      <c r="J592">
        <v>2966</v>
      </c>
      <c r="K592">
        <v>45.83</v>
      </c>
      <c r="L592">
        <v>3</v>
      </c>
      <c r="M592">
        <v>36.24</v>
      </c>
      <c r="N592">
        <v>4</v>
      </c>
      <c r="O592">
        <v>2</v>
      </c>
      <c r="P592">
        <v>289.92</v>
      </c>
      <c r="Q592">
        <v>7.32</v>
      </c>
      <c r="R592">
        <v>282.60000000000002</v>
      </c>
      <c r="AC592" s="1">
        <v>42872</v>
      </c>
    </row>
    <row r="593" spans="1:29" x14ac:dyDescent="0.25">
      <c r="A593" t="s">
        <v>285</v>
      </c>
      <c r="D593" t="s">
        <v>1290</v>
      </c>
      <c r="E593" t="s">
        <v>2061</v>
      </c>
      <c r="F593" t="s">
        <v>2079</v>
      </c>
      <c r="G593" t="s">
        <v>2087</v>
      </c>
      <c r="H593" t="s">
        <v>2094</v>
      </c>
      <c r="I593" t="s">
        <v>2110</v>
      </c>
      <c r="J593">
        <v>4585</v>
      </c>
      <c r="K593">
        <v>21.5</v>
      </c>
      <c r="L593">
        <v>4.0999999999999996</v>
      </c>
      <c r="M593">
        <v>22.55</v>
      </c>
      <c r="N593">
        <v>4</v>
      </c>
      <c r="O593">
        <v>11</v>
      </c>
      <c r="P593">
        <v>992.2</v>
      </c>
      <c r="Q593">
        <v>2.79</v>
      </c>
      <c r="R593">
        <v>989.41</v>
      </c>
      <c r="AC593" s="1">
        <v>40414</v>
      </c>
    </row>
    <row r="594" spans="1:29" x14ac:dyDescent="0.25">
      <c r="A594" t="s">
        <v>402</v>
      </c>
      <c r="D594" t="s">
        <v>1402</v>
      </c>
      <c r="E594" t="s">
        <v>2059</v>
      </c>
      <c r="F594" t="s">
        <v>2074</v>
      </c>
      <c r="G594" t="s">
        <v>2087</v>
      </c>
      <c r="H594" t="s">
        <v>2094</v>
      </c>
      <c r="I594" t="s">
        <v>2105</v>
      </c>
      <c r="J594">
        <v>4387</v>
      </c>
      <c r="K594">
        <v>48.74</v>
      </c>
      <c r="L594">
        <v>3</v>
      </c>
      <c r="M594">
        <v>25.87</v>
      </c>
      <c r="N594">
        <v>2</v>
      </c>
      <c r="O594">
        <v>1</v>
      </c>
      <c r="P594">
        <v>51.74</v>
      </c>
      <c r="Q594">
        <v>4.29</v>
      </c>
      <c r="R594">
        <v>47.45</v>
      </c>
      <c r="AC594" s="1">
        <v>42109</v>
      </c>
    </row>
    <row r="595" spans="1:29" x14ac:dyDescent="0.25">
      <c r="A595" t="s">
        <v>481</v>
      </c>
      <c r="D595" t="s">
        <v>1479</v>
      </c>
      <c r="E595" t="s">
        <v>2022</v>
      </c>
      <c r="F595" t="s">
        <v>2081</v>
      </c>
      <c r="G595" t="s">
        <v>2087</v>
      </c>
      <c r="H595" t="s">
        <v>2092</v>
      </c>
      <c r="I595" t="s">
        <v>2097</v>
      </c>
      <c r="J595">
        <v>2612</v>
      </c>
      <c r="K595">
        <v>28.14</v>
      </c>
      <c r="L595">
        <v>2.9</v>
      </c>
      <c r="M595">
        <v>30.98</v>
      </c>
      <c r="N595">
        <v>3</v>
      </c>
      <c r="O595">
        <v>20</v>
      </c>
      <c r="P595">
        <v>1858.8</v>
      </c>
      <c r="Q595">
        <v>9.5299999999999994</v>
      </c>
      <c r="R595">
        <v>1849.27</v>
      </c>
      <c r="AC595" s="1">
        <v>41448</v>
      </c>
    </row>
    <row r="596" spans="1:29" x14ac:dyDescent="0.25">
      <c r="A596" t="s">
        <v>627</v>
      </c>
      <c r="D596" t="s">
        <v>1612</v>
      </c>
      <c r="E596" t="s">
        <v>2032</v>
      </c>
      <c r="F596" t="s">
        <v>2080</v>
      </c>
      <c r="G596" t="s">
        <v>2087</v>
      </c>
      <c r="H596" t="s">
        <v>2092</v>
      </c>
      <c r="I596" t="s">
        <v>2097</v>
      </c>
      <c r="J596">
        <v>3312</v>
      </c>
      <c r="K596">
        <v>13.45</v>
      </c>
      <c r="L596">
        <v>2.9</v>
      </c>
      <c r="M596">
        <v>38.200000000000003</v>
      </c>
      <c r="N596">
        <v>2</v>
      </c>
      <c r="O596">
        <v>7</v>
      </c>
      <c r="P596">
        <v>534.80000000000007</v>
      </c>
      <c r="Q596">
        <v>9.86</v>
      </c>
      <c r="R596">
        <v>524.94000000000005</v>
      </c>
      <c r="AC596" s="1">
        <v>41929</v>
      </c>
    </row>
    <row r="597" spans="1:29" x14ac:dyDescent="0.25">
      <c r="A597" t="s">
        <v>768</v>
      </c>
      <c r="D597" t="s">
        <v>1744</v>
      </c>
      <c r="E597" t="s">
        <v>1999</v>
      </c>
      <c r="F597" t="s">
        <v>2081</v>
      </c>
      <c r="G597" t="s">
        <v>2087</v>
      </c>
      <c r="H597" t="s">
        <v>2094</v>
      </c>
      <c r="I597" t="s">
        <v>2100</v>
      </c>
      <c r="J597">
        <v>766</v>
      </c>
      <c r="K597">
        <v>29.36</v>
      </c>
      <c r="L597">
        <v>2</v>
      </c>
      <c r="M597">
        <v>14.64</v>
      </c>
      <c r="N597">
        <v>5</v>
      </c>
      <c r="O597">
        <v>14</v>
      </c>
      <c r="P597">
        <v>1024.8</v>
      </c>
      <c r="Q597">
        <v>3.51</v>
      </c>
      <c r="R597">
        <v>1021.29</v>
      </c>
      <c r="AC597" s="1">
        <v>41095</v>
      </c>
    </row>
    <row r="598" spans="1:29" x14ac:dyDescent="0.25">
      <c r="A598" t="s">
        <v>918</v>
      </c>
      <c r="D598" t="s">
        <v>1883</v>
      </c>
      <c r="E598" t="s">
        <v>2026</v>
      </c>
      <c r="F598" t="s">
        <v>2076</v>
      </c>
      <c r="G598" t="s">
        <v>2087</v>
      </c>
      <c r="H598" t="s">
        <v>2093</v>
      </c>
      <c r="I598" t="s">
        <v>2100</v>
      </c>
      <c r="J598">
        <v>3996</v>
      </c>
      <c r="K598">
        <v>31.73</v>
      </c>
      <c r="L598">
        <v>3.7</v>
      </c>
      <c r="M598">
        <v>21.33</v>
      </c>
      <c r="N598">
        <v>3</v>
      </c>
      <c r="O598">
        <v>16</v>
      </c>
      <c r="P598">
        <v>1023.8399999999999</v>
      </c>
      <c r="Q598">
        <v>7.35</v>
      </c>
      <c r="R598">
        <v>1016.49</v>
      </c>
      <c r="AC598" s="1">
        <v>41818</v>
      </c>
    </row>
    <row r="599" spans="1:29" x14ac:dyDescent="0.25">
      <c r="A599" t="s">
        <v>920</v>
      </c>
      <c r="D599" t="s">
        <v>1885</v>
      </c>
      <c r="E599" t="s">
        <v>2022</v>
      </c>
      <c r="F599" t="s">
        <v>2079</v>
      </c>
      <c r="G599" t="s">
        <v>2087</v>
      </c>
      <c r="H599" t="s">
        <v>2093</v>
      </c>
      <c r="I599" t="s">
        <v>2105</v>
      </c>
      <c r="J599">
        <v>1967</v>
      </c>
      <c r="K599">
        <v>16</v>
      </c>
      <c r="L599">
        <v>2.1</v>
      </c>
      <c r="M599">
        <v>24</v>
      </c>
      <c r="N599">
        <v>3</v>
      </c>
      <c r="O599">
        <v>19</v>
      </c>
      <c r="P599">
        <v>1368</v>
      </c>
      <c r="Q599">
        <v>9.98</v>
      </c>
      <c r="R599">
        <v>1358.02</v>
      </c>
      <c r="AC599" s="1">
        <v>42239</v>
      </c>
    </row>
    <row r="600" spans="1:29" x14ac:dyDescent="0.25">
      <c r="A600" t="s">
        <v>84</v>
      </c>
      <c r="D600" t="s">
        <v>1094</v>
      </c>
      <c r="E600" t="s">
        <v>2000</v>
      </c>
      <c r="F600" t="s">
        <v>2076</v>
      </c>
      <c r="G600" t="s">
        <v>2088</v>
      </c>
      <c r="H600" t="s">
        <v>2095</v>
      </c>
      <c r="I600" t="s">
        <v>2100</v>
      </c>
      <c r="J600">
        <v>3739</v>
      </c>
      <c r="K600">
        <v>9.86</v>
      </c>
      <c r="L600">
        <v>3.6</v>
      </c>
      <c r="M600">
        <v>7.16</v>
      </c>
      <c r="N600">
        <v>5</v>
      </c>
      <c r="O600">
        <v>10</v>
      </c>
      <c r="P600">
        <v>358</v>
      </c>
      <c r="Q600">
        <v>5.39</v>
      </c>
      <c r="R600">
        <v>352.61</v>
      </c>
      <c r="AC600" s="1">
        <v>40496</v>
      </c>
    </row>
    <row r="601" spans="1:29" x14ac:dyDescent="0.25">
      <c r="A601" t="s">
        <v>130</v>
      </c>
      <c r="D601" t="s">
        <v>1140</v>
      </c>
      <c r="E601" t="s">
        <v>2005</v>
      </c>
      <c r="F601" t="s">
        <v>2076</v>
      </c>
      <c r="G601" t="s">
        <v>2088</v>
      </c>
      <c r="H601" t="s">
        <v>2092</v>
      </c>
      <c r="I601" t="s">
        <v>2103</v>
      </c>
      <c r="J601">
        <v>932</v>
      </c>
      <c r="K601">
        <v>48.36</v>
      </c>
      <c r="L601">
        <v>4.8</v>
      </c>
      <c r="M601">
        <v>28.33</v>
      </c>
      <c r="N601">
        <v>3</v>
      </c>
      <c r="O601">
        <v>5</v>
      </c>
      <c r="P601">
        <v>424.95</v>
      </c>
      <c r="Q601">
        <v>6.68</v>
      </c>
      <c r="R601">
        <v>418.27</v>
      </c>
      <c r="AC601" s="1">
        <v>41855</v>
      </c>
    </row>
    <row r="602" spans="1:29" x14ac:dyDescent="0.25">
      <c r="A602" t="s">
        <v>681</v>
      </c>
      <c r="D602" t="s">
        <v>1663</v>
      </c>
      <c r="E602" t="s">
        <v>2072</v>
      </c>
      <c r="F602" t="s">
        <v>2076</v>
      </c>
      <c r="G602" t="s">
        <v>2088</v>
      </c>
      <c r="H602" t="s">
        <v>2095</v>
      </c>
      <c r="I602" t="s">
        <v>2098</v>
      </c>
      <c r="J602">
        <v>2438</v>
      </c>
      <c r="K602">
        <v>5.5</v>
      </c>
      <c r="L602">
        <v>4.2</v>
      </c>
      <c r="M602">
        <v>19.73</v>
      </c>
      <c r="N602">
        <v>5</v>
      </c>
      <c r="O602">
        <v>1</v>
      </c>
      <c r="P602">
        <v>98.65</v>
      </c>
      <c r="Q602">
        <v>8.11</v>
      </c>
      <c r="R602">
        <v>90.54</v>
      </c>
      <c r="AC602" s="1">
        <v>42657</v>
      </c>
    </row>
    <row r="603" spans="1:29" x14ac:dyDescent="0.25">
      <c r="A603" t="s">
        <v>800</v>
      </c>
      <c r="D603" t="s">
        <v>1773</v>
      </c>
      <c r="E603" t="s">
        <v>1979</v>
      </c>
      <c r="F603" t="s">
        <v>2081</v>
      </c>
      <c r="G603" t="s">
        <v>2088</v>
      </c>
      <c r="H603" t="s">
        <v>2095</v>
      </c>
      <c r="I603" t="s">
        <v>2097</v>
      </c>
      <c r="J603">
        <v>3294</v>
      </c>
      <c r="K603">
        <v>7.22</v>
      </c>
      <c r="L603">
        <v>3.2</v>
      </c>
      <c r="M603">
        <v>13.61</v>
      </c>
      <c r="N603">
        <v>3</v>
      </c>
      <c r="O603">
        <v>6</v>
      </c>
      <c r="P603">
        <v>244.98</v>
      </c>
      <c r="Q603">
        <v>3.31</v>
      </c>
      <c r="R603">
        <v>241.67</v>
      </c>
      <c r="AC603" s="1">
        <v>41272</v>
      </c>
    </row>
    <row r="604" spans="1:29" x14ac:dyDescent="0.25">
      <c r="A604" t="s">
        <v>825</v>
      </c>
      <c r="D604" t="s">
        <v>1029</v>
      </c>
      <c r="E604" t="s">
        <v>1976</v>
      </c>
      <c r="F604" t="s">
        <v>2080</v>
      </c>
      <c r="G604" t="s">
        <v>2088</v>
      </c>
      <c r="H604" t="s">
        <v>2095</v>
      </c>
      <c r="I604" t="s">
        <v>2111</v>
      </c>
      <c r="J604">
        <v>1819</v>
      </c>
      <c r="K604">
        <v>25.06</v>
      </c>
      <c r="L604">
        <v>1.9</v>
      </c>
      <c r="M604">
        <v>13.53</v>
      </c>
      <c r="N604">
        <v>1</v>
      </c>
      <c r="O604">
        <v>12</v>
      </c>
      <c r="P604">
        <v>162.35999999999999</v>
      </c>
      <c r="Q604">
        <v>6.01</v>
      </c>
      <c r="R604">
        <v>156.35</v>
      </c>
      <c r="AC604" s="1">
        <v>40356</v>
      </c>
    </row>
    <row r="605" spans="1:29" x14ac:dyDescent="0.25">
      <c r="A605" t="s">
        <v>901</v>
      </c>
      <c r="D605" t="s">
        <v>1866</v>
      </c>
      <c r="E605" t="s">
        <v>1994</v>
      </c>
      <c r="F605" t="s">
        <v>2074</v>
      </c>
      <c r="G605" t="s">
        <v>2088</v>
      </c>
      <c r="H605" t="s">
        <v>2093</v>
      </c>
      <c r="I605" t="s">
        <v>2108</v>
      </c>
      <c r="J605">
        <v>3226</v>
      </c>
      <c r="K605">
        <v>44.54</v>
      </c>
      <c r="L605">
        <v>2.5</v>
      </c>
      <c r="M605">
        <v>32.450000000000003</v>
      </c>
      <c r="N605">
        <v>1</v>
      </c>
      <c r="O605">
        <v>16</v>
      </c>
      <c r="P605">
        <v>519.20000000000005</v>
      </c>
      <c r="Q605">
        <v>3.22</v>
      </c>
      <c r="R605">
        <v>515.98</v>
      </c>
      <c r="AC605" s="1">
        <v>40207</v>
      </c>
    </row>
    <row r="606" spans="1:29" x14ac:dyDescent="0.25">
      <c r="A606" t="s">
        <v>913</v>
      </c>
      <c r="D606" t="s">
        <v>1878</v>
      </c>
      <c r="E606" t="s">
        <v>2032</v>
      </c>
      <c r="F606" t="s">
        <v>2075</v>
      </c>
      <c r="G606" t="s">
        <v>2088</v>
      </c>
      <c r="H606" t="s">
        <v>2096</v>
      </c>
      <c r="I606" t="s">
        <v>2106</v>
      </c>
      <c r="J606">
        <v>4612</v>
      </c>
      <c r="K606">
        <v>19.579999999999998</v>
      </c>
      <c r="L606">
        <v>4.5</v>
      </c>
      <c r="M606">
        <v>5.68</v>
      </c>
      <c r="N606">
        <v>2</v>
      </c>
      <c r="O606">
        <v>2</v>
      </c>
      <c r="P606">
        <v>22.72</v>
      </c>
      <c r="Q606">
        <v>7.18</v>
      </c>
      <c r="R606">
        <v>15.54</v>
      </c>
      <c r="AC606" s="1">
        <v>43158</v>
      </c>
    </row>
    <row r="607" spans="1:29" x14ac:dyDescent="0.25">
      <c r="A607" t="s">
        <v>145</v>
      </c>
      <c r="D607" t="s">
        <v>1154</v>
      </c>
      <c r="E607" t="s">
        <v>1981</v>
      </c>
      <c r="F607" t="s">
        <v>2078</v>
      </c>
      <c r="G607" t="s">
        <v>2085</v>
      </c>
      <c r="H607" t="s">
        <v>2095</v>
      </c>
      <c r="I607" t="s">
        <v>2097</v>
      </c>
      <c r="J607">
        <v>892</v>
      </c>
      <c r="K607">
        <v>45.48</v>
      </c>
      <c r="L607">
        <v>2.2999999999999998</v>
      </c>
      <c r="M607">
        <v>32</v>
      </c>
      <c r="N607">
        <v>5</v>
      </c>
      <c r="O607">
        <v>17</v>
      </c>
      <c r="P607">
        <v>2720</v>
      </c>
      <c r="Q607">
        <v>2.4</v>
      </c>
      <c r="R607">
        <v>2717.6</v>
      </c>
      <c r="AC607" s="1">
        <v>41456</v>
      </c>
    </row>
    <row r="608" spans="1:29" x14ac:dyDescent="0.25">
      <c r="A608" t="s">
        <v>201</v>
      </c>
      <c r="D608" t="s">
        <v>1210</v>
      </c>
      <c r="E608" t="s">
        <v>2014</v>
      </c>
      <c r="F608" t="s">
        <v>2081</v>
      </c>
      <c r="G608" t="s">
        <v>2085</v>
      </c>
      <c r="H608" t="s">
        <v>2092</v>
      </c>
      <c r="I608" t="s">
        <v>2099</v>
      </c>
      <c r="J608">
        <v>1403</v>
      </c>
      <c r="K608">
        <v>6.14</v>
      </c>
      <c r="L608">
        <v>2.6</v>
      </c>
      <c r="M608">
        <v>37.69</v>
      </c>
      <c r="N608">
        <v>5</v>
      </c>
      <c r="O608">
        <v>5</v>
      </c>
      <c r="P608">
        <v>942.25</v>
      </c>
      <c r="Q608">
        <v>4.71</v>
      </c>
      <c r="R608">
        <v>937.54</v>
      </c>
      <c r="AC608" s="1">
        <v>40726</v>
      </c>
    </row>
    <row r="609" spans="1:29" x14ac:dyDescent="0.25">
      <c r="A609" t="s">
        <v>211</v>
      </c>
      <c r="D609" t="s">
        <v>1220</v>
      </c>
      <c r="E609" t="s">
        <v>2056</v>
      </c>
      <c r="F609" t="s">
        <v>2079</v>
      </c>
      <c r="G609" t="s">
        <v>2085</v>
      </c>
      <c r="H609" t="s">
        <v>2092</v>
      </c>
      <c r="I609" t="s">
        <v>2103</v>
      </c>
      <c r="J609">
        <v>1921</v>
      </c>
      <c r="K609">
        <v>14.05</v>
      </c>
      <c r="L609">
        <v>3</v>
      </c>
      <c r="M609">
        <v>32.17</v>
      </c>
      <c r="N609">
        <v>2</v>
      </c>
      <c r="O609">
        <v>3</v>
      </c>
      <c r="P609">
        <v>193.02</v>
      </c>
      <c r="Q609">
        <v>1.36</v>
      </c>
      <c r="R609">
        <v>191.66</v>
      </c>
      <c r="AC609" s="1">
        <v>40183</v>
      </c>
    </row>
    <row r="610" spans="1:29" x14ac:dyDescent="0.25">
      <c r="A610" t="s">
        <v>386</v>
      </c>
      <c r="D610" t="s">
        <v>1387</v>
      </c>
      <c r="E610" t="s">
        <v>2070</v>
      </c>
      <c r="F610" t="s">
        <v>2076</v>
      </c>
      <c r="G610" t="s">
        <v>2085</v>
      </c>
      <c r="H610" t="s">
        <v>2092</v>
      </c>
      <c r="I610" t="s">
        <v>2097</v>
      </c>
      <c r="J610">
        <v>3355</v>
      </c>
      <c r="K610">
        <v>10.55</v>
      </c>
      <c r="L610">
        <v>3.6</v>
      </c>
      <c r="M610">
        <v>23.1</v>
      </c>
      <c r="N610">
        <v>3</v>
      </c>
      <c r="O610">
        <v>17</v>
      </c>
      <c r="P610">
        <v>1178.1000000000001</v>
      </c>
      <c r="Q610">
        <v>7.85</v>
      </c>
      <c r="R610">
        <v>1170.25</v>
      </c>
      <c r="AC610" s="1">
        <v>43268</v>
      </c>
    </row>
    <row r="611" spans="1:29" x14ac:dyDescent="0.25">
      <c r="A611" t="s">
        <v>492</v>
      </c>
      <c r="D611" t="s">
        <v>1329</v>
      </c>
      <c r="E611" t="s">
        <v>2004</v>
      </c>
      <c r="F611" t="s">
        <v>2074</v>
      </c>
      <c r="G611" t="s">
        <v>2085</v>
      </c>
      <c r="H611" t="s">
        <v>2095</v>
      </c>
      <c r="I611" t="s">
        <v>2099</v>
      </c>
      <c r="J611">
        <v>1855</v>
      </c>
      <c r="K611">
        <v>21.47</v>
      </c>
      <c r="L611">
        <v>2.2000000000000002</v>
      </c>
      <c r="M611">
        <v>23.78</v>
      </c>
      <c r="N611">
        <v>3</v>
      </c>
      <c r="O611">
        <v>18</v>
      </c>
      <c r="P611">
        <v>1284.1200000000001</v>
      </c>
      <c r="Q611">
        <v>7.72</v>
      </c>
      <c r="R611">
        <v>1276.4000000000001</v>
      </c>
      <c r="AC611" s="1">
        <v>40863</v>
      </c>
    </row>
    <row r="612" spans="1:29" x14ac:dyDescent="0.25">
      <c r="A612" t="s">
        <v>541</v>
      </c>
      <c r="D612" t="s">
        <v>1535</v>
      </c>
      <c r="E612" t="s">
        <v>1986</v>
      </c>
      <c r="F612" t="s">
        <v>2074</v>
      </c>
      <c r="G612" t="s">
        <v>2085</v>
      </c>
      <c r="H612" t="s">
        <v>2095</v>
      </c>
      <c r="I612" t="s">
        <v>2102</v>
      </c>
      <c r="J612">
        <v>4384</v>
      </c>
      <c r="K612">
        <v>46.53</v>
      </c>
      <c r="L612">
        <v>2.2000000000000002</v>
      </c>
      <c r="M612">
        <v>22.85</v>
      </c>
      <c r="N612">
        <v>4</v>
      </c>
      <c r="O612">
        <v>11</v>
      </c>
      <c r="P612">
        <v>1005.4000000000001</v>
      </c>
      <c r="Q612">
        <v>8.4</v>
      </c>
      <c r="R612">
        <v>997</v>
      </c>
      <c r="AC612" s="1">
        <v>41459</v>
      </c>
    </row>
    <row r="613" spans="1:29" x14ac:dyDescent="0.25">
      <c r="A613" t="s">
        <v>551</v>
      </c>
      <c r="D613" t="s">
        <v>1545</v>
      </c>
      <c r="E613" t="s">
        <v>2023</v>
      </c>
      <c r="F613" t="s">
        <v>2073</v>
      </c>
      <c r="G613" t="s">
        <v>2085</v>
      </c>
      <c r="H613" t="s">
        <v>2095</v>
      </c>
      <c r="I613" t="s">
        <v>2102</v>
      </c>
      <c r="J613">
        <v>2468</v>
      </c>
      <c r="K613">
        <v>44.6</v>
      </c>
      <c r="L613">
        <v>3</v>
      </c>
      <c r="M613">
        <v>19.38</v>
      </c>
      <c r="N613">
        <v>4</v>
      </c>
      <c r="O613">
        <v>3</v>
      </c>
      <c r="P613">
        <v>232.56</v>
      </c>
      <c r="Q613">
        <v>2.11</v>
      </c>
      <c r="R613">
        <v>230.45</v>
      </c>
      <c r="AC613" s="1">
        <v>41437</v>
      </c>
    </row>
    <row r="614" spans="1:29" x14ac:dyDescent="0.25">
      <c r="A614" t="s">
        <v>297</v>
      </c>
      <c r="D614" t="s">
        <v>1302</v>
      </c>
      <c r="E614" t="s">
        <v>1986</v>
      </c>
      <c r="F614" t="s">
        <v>2074</v>
      </c>
      <c r="G614" t="s">
        <v>2091</v>
      </c>
      <c r="H614" t="s">
        <v>2095</v>
      </c>
      <c r="I614" t="s">
        <v>2098</v>
      </c>
      <c r="J614">
        <v>125</v>
      </c>
      <c r="K614">
        <v>48.68</v>
      </c>
      <c r="L614">
        <v>1</v>
      </c>
      <c r="M614">
        <v>37.56</v>
      </c>
      <c r="N614">
        <v>5</v>
      </c>
      <c r="O614">
        <v>10</v>
      </c>
      <c r="P614">
        <v>1878</v>
      </c>
      <c r="Q614">
        <v>5.98</v>
      </c>
      <c r="R614">
        <v>1872.02</v>
      </c>
      <c r="AC614" s="1">
        <v>41160</v>
      </c>
    </row>
    <row r="615" spans="1:29" x14ac:dyDescent="0.25">
      <c r="A615" t="s">
        <v>404</v>
      </c>
      <c r="D615" t="s">
        <v>1404</v>
      </c>
      <c r="E615" t="s">
        <v>2046</v>
      </c>
      <c r="F615" t="s">
        <v>2078</v>
      </c>
      <c r="G615" t="s">
        <v>2091</v>
      </c>
      <c r="H615" t="s">
        <v>2092</v>
      </c>
      <c r="I615" t="s">
        <v>2099</v>
      </c>
      <c r="J615">
        <v>1119</v>
      </c>
      <c r="K615">
        <v>29.71</v>
      </c>
      <c r="L615">
        <v>3.5</v>
      </c>
      <c r="M615">
        <v>21.35</v>
      </c>
      <c r="N615">
        <v>4</v>
      </c>
      <c r="O615">
        <v>1</v>
      </c>
      <c r="P615">
        <v>85.4</v>
      </c>
      <c r="Q615">
        <v>9.9499999999999993</v>
      </c>
      <c r="R615">
        <v>75.45</v>
      </c>
      <c r="AC615" s="1">
        <v>40854</v>
      </c>
    </row>
    <row r="616" spans="1:29" x14ac:dyDescent="0.25">
      <c r="A616" t="s">
        <v>712</v>
      </c>
      <c r="D616" t="s">
        <v>1691</v>
      </c>
      <c r="E616" t="s">
        <v>1980</v>
      </c>
      <c r="F616" t="s">
        <v>2078</v>
      </c>
      <c r="G616" t="s">
        <v>2091</v>
      </c>
      <c r="H616" t="s">
        <v>2093</v>
      </c>
      <c r="I616" t="s">
        <v>2102</v>
      </c>
      <c r="J616">
        <v>3686</v>
      </c>
      <c r="K616">
        <v>8.32</v>
      </c>
      <c r="L616">
        <v>4.7</v>
      </c>
      <c r="M616">
        <v>21.35</v>
      </c>
      <c r="N616">
        <v>2</v>
      </c>
      <c r="O616">
        <v>6</v>
      </c>
      <c r="P616">
        <v>256.20000000000005</v>
      </c>
      <c r="Q616">
        <v>3.75</v>
      </c>
      <c r="R616">
        <v>252.45</v>
      </c>
      <c r="AC616" s="1">
        <v>41052</v>
      </c>
    </row>
    <row r="617" spans="1:29" x14ac:dyDescent="0.25">
      <c r="A617" t="s">
        <v>804</v>
      </c>
      <c r="D617" t="s">
        <v>1776</v>
      </c>
      <c r="E617" t="s">
        <v>2002</v>
      </c>
      <c r="F617" t="s">
        <v>2079</v>
      </c>
      <c r="G617" t="s">
        <v>2091</v>
      </c>
      <c r="H617" t="s">
        <v>2092</v>
      </c>
      <c r="I617" t="s">
        <v>2100</v>
      </c>
      <c r="J617">
        <v>3303</v>
      </c>
      <c r="K617">
        <v>25.7</v>
      </c>
      <c r="L617">
        <v>1.9</v>
      </c>
      <c r="M617">
        <v>30.91</v>
      </c>
      <c r="N617">
        <v>5</v>
      </c>
      <c r="O617">
        <v>3</v>
      </c>
      <c r="P617">
        <v>463.65000000000003</v>
      </c>
      <c r="Q617">
        <v>7.99</v>
      </c>
      <c r="R617">
        <v>455.66</v>
      </c>
      <c r="AC617" s="1">
        <v>41042</v>
      </c>
    </row>
    <row r="618" spans="1:29" x14ac:dyDescent="0.25">
      <c r="A618" t="s">
        <v>831</v>
      </c>
      <c r="D618" t="s">
        <v>1801</v>
      </c>
      <c r="E618" t="s">
        <v>1995</v>
      </c>
      <c r="F618" t="s">
        <v>2074</v>
      </c>
      <c r="G618" t="s">
        <v>2091</v>
      </c>
      <c r="H618" t="s">
        <v>2095</v>
      </c>
      <c r="I618" t="s">
        <v>2102</v>
      </c>
      <c r="J618">
        <v>4996</v>
      </c>
      <c r="K618">
        <v>13.19</v>
      </c>
      <c r="L618">
        <v>2.5</v>
      </c>
      <c r="M618">
        <v>37.97</v>
      </c>
      <c r="N618">
        <v>4</v>
      </c>
      <c r="O618">
        <v>16</v>
      </c>
      <c r="P618">
        <v>2430.08</v>
      </c>
      <c r="Q618">
        <v>7.55</v>
      </c>
      <c r="R618">
        <v>2422.5300000000002</v>
      </c>
      <c r="AC618" s="1">
        <v>41806</v>
      </c>
    </row>
    <row r="619" spans="1:29" x14ac:dyDescent="0.25">
      <c r="A619" t="s">
        <v>970</v>
      </c>
      <c r="D619" t="s">
        <v>1929</v>
      </c>
      <c r="E619" t="s">
        <v>2023</v>
      </c>
      <c r="F619" t="s">
        <v>2078</v>
      </c>
      <c r="G619" t="s">
        <v>2091</v>
      </c>
      <c r="H619" t="s">
        <v>2096</v>
      </c>
      <c r="I619" t="s">
        <v>2109</v>
      </c>
      <c r="J619">
        <v>2242</v>
      </c>
      <c r="K619">
        <v>37.69</v>
      </c>
      <c r="L619">
        <v>1.4</v>
      </c>
      <c r="M619">
        <v>31.75</v>
      </c>
      <c r="N619">
        <v>3</v>
      </c>
      <c r="O619">
        <v>2</v>
      </c>
      <c r="P619">
        <v>190.5</v>
      </c>
      <c r="Q619">
        <v>5.41</v>
      </c>
      <c r="R619">
        <v>185.09</v>
      </c>
      <c r="AC619" s="1">
        <v>42987</v>
      </c>
    </row>
    <row r="620" spans="1:29" x14ac:dyDescent="0.25">
      <c r="A620" t="s">
        <v>127</v>
      </c>
      <c r="D620" t="s">
        <v>1137</v>
      </c>
      <c r="E620" t="s">
        <v>2036</v>
      </c>
      <c r="F620" t="s">
        <v>2078</v>
      </c>
      <c r="G620" t="s">
        <v>2086</v>
      </c>
      <c r="H620" t="s">
        <v>2095</v>
      </c>
      <c r="I620" t="s">
        <v>2106</v>
      </c>
      <c r="J620">
        <v>2830</v>
      </c>
      <c r="K620">
        <v>22.59</v>
      </c>
      <c r="L620">
        <v>2.2999999999999998</v>
      </c>
      <c r="M620">
        <v>21.3</v>
      </c>
      <c r="N620">
        <v>3</v>
      </c>
      <c r="O620">
        <v>20</v>
      </c>
      <c r="P620">
        <v>1278</v>
      </c>
      <c r="Q620">
        <v>4.49</v>
      </c>
      <c r="R620">
        <v>1273.51</v>
      </c>
      <c r="AC620" s="1">
        <v>42602</v>
      </c>
    </row>
    <row r="621" spans="1:29" x14ac:dyDescent="0.25">
      <c r="A621" t="s">
        <v>204</v>
      </c>
      <c r="D621" t="s">
        <v>1213</v>
      </c>
      <c r="E621" t="s">
        <v>1987</v>
      </c>
      <c r="F621" t="s">
        <v>2082</v>
      </c>
      <c r="G621" t="s">
        <v>2086</v>
      </c>
      <c r="H621" t="s">
        <v>2096</v>
      </c>
      <c r="I621" t="s">
        <v>2111</v>
      </c>
      <c r="J621">
        <v>4296</v>
      </c>
      <c r="K621">
        <v>16.59</v>
      </c>
      <c r="L621">
        <v>2</v>
      </c>
      <c r="M621">
        <v>24.02</v>
      </c>
      <c r="N621">
        <v>5</v>
      </c>
      <c r="O621">
        <v>8</v>
      </c>
      <c r="P621">
        <v>960.8</v>
      </c>
      <c r="Q621">
        <v>6.2</v>
      </c>
      <c r="R621">
        <v>954.6</v>
      </c>
      <c r="AC621" s="1">
        <v>42572</v>
      </c>
    </row>
    <row r="622" spans="1:29" x14ac:dyDescent="0.25">
      <c r="A622" t="s">
        <v>244</v>
      </c>
      <c r="D622" t="s">
        <v>1251</v>
      </c>
      <c r="E622" t="s">
        <v>2011</v>
      </c>
      <c r="F622" t="s">
        <v>2074</v>
      </c>
      <c r="G622" t="s">
        <v>2086</v>
      </c>
      <c r="H622" t="s">
        <v>2095</v>
      </c>
      <c r="I622" t="s">
        <v>2101</v>
      </c>
      <c r="J622">
        <v>4363</v>
      </c>
      <c r="K622">
        <v>24.04</v>
      </c>
      <c r="L622">
        <v>2.5</v>
      </c>
      <c r="M622">
        <v>27.59</v>
      </c>
      <c r="N622">
        <v>5</v>
      </c>
      <c r="O622">
        <v>5</v>
      </c>
      <c r="P622">
        <v>689.75</v>
      </c>
      <c r="Q622">
        <v>7.57</v>
      </c>
      <c r="R622">
        <v>682.18</v>
      </c>
      <c r="AC622" s="1">
        <v>42056</v>
      </c>
    </row>
    <row r="623" spans="1:29" x14ac:dyDescent="0.25">
      <c r="A623" t="s">
        <v>323</v>
      </c>
      <c r="D623" t="s">
        <v>1326</v>
      </c>
      <c r="E623" t="s">
        <v>2033</v>
      </c>
      <c r="F623" t="s">
        <v>2081</v>
      </c>
      <c r="G623" t="s">
        <v>2086</v>
      </c>
      <c r="H623" t="s">
        <v>2092</v>
      </c>
      <c r="I623" t="s">
        <v>2097</v>
      </c>
      <c r="J623">
        <v>4577</v>
      </c>
      <c r="K623">
        <v>25.27</v>
      </c>
      <c r="L623">
        <v>1.4</v>
      </c>
      <c r="M623">
        <v>32.07</v>
      </c>
      <c r="N623">
        <v>5</v>
      </c>
      <c r="O623">
        <v>20</v>
      </c>
      <c r="P623">
        <v>3207</v>
      </c>
      <c r="Q623">
        <v>0.56000000000000005</v>
      </c>
      <c r="R623">
        <v>3206.44</v>
      </c>
      <c r="AC623" s="1">
        <v>40198</v>
      </c>
    </row>
    <row r="624" spans="1:29" x14ac:dyDescent="0.25">
      <c r="A624" t="s">
        <v>406</v>
      </c>
      <c r="D624" t="s">
        <v>1406</v>
      </c>
      <c r="E624" t="s">
        <v>1979</v>
      </c>
      <c r="F624" t="s">
        <v>2077</v>
      </c>
      <c r="G624" t="s">
        <v>2086</v>
      </c>
      <c r="H624" t="s">
        <v>2093</v>
      </c>
      <c r="I624" t="s">
        <v>2107</v>
      </c>
      <c r="J624">
        <v>1679</v>
      </c>
      <c r="K624">
        <v>17.12</v>
      </c>
      <c r="L624">
        <v>3.5</v>
      </c>
      <c r="M624">
        <v>30.02</v>
      </c>
      <c r="N624">
        <v>3</v>
      </c>
      <c r="O624">
        <v>15</v>
      </c>
      <c r="P624">
        <v>1350.9</v>
      </c>
      <c r="Q624">
        <v>0.86</v>
      </c>
      <c r="R624">
        <v>1350.04</v>
      </c>
      <c r="AC624" s="1">
        <v>41300</v>
      </c>
    </row>
    <row r="625" spans="1:29" x14ac:dyDescent="0.25">
      <c r="A625" t="s">
        <v>493</v>
      </c>
      <c r="D625" t="s">
        <v>1070</v>
      </c>
      <c r="E625" t="s">
        <v>2035</v>
      </c>
      <c r="F625" t="s">
        <v>2077</v>
      </c>
      <c r="G625" t="s">
        <v>2086</v>
      </c>
      <c r="H625" t="s">
        <v>2096</v>
      </c>
      <c r="I625" t="s">
        <v>2098</v>
      </c>
      <c r="J625">
        <v>3739</v>
      </c>
      <c r="K625">
        <v>25.11</v>
      </c>
      <c r="L625">
        <v>4.0999999999999996</v>
      </c>
      <c r="M625">
        <v>22.53</v>
      </c>
      <c r="N625">
        <v>5</v>
      </c>
      <c r="O625">
        <v>20</v>
      </c>
      <c r="P625">
        <v>2253</v>
      </c>
      <c r="Q625">
        <v>8.25</v>
      </c>
      <c r="R625">
        <v>2244.75</v>
      </c>
      <c r="AC625" s="1">
        <v>42238</v>
      </c>
    </row>
    <row r="626" spans="1:29" x14ac:dyDescent="0.25">
      <c r="A626" t="s">
        <v>549</v>
      </c>
      <c r="D626" t="s">
        <v>1543</v>
      </c>
      <c r="E626" t="s">
        <v>2071</v>
      </c>
      <c r="F626" t="s">
        <v>2080</v>
      </c>
      <c r="G626" t="s">
        <v>2086</v>
      </c>
      <c r="H626" t="s">
        <v>2096</v>
      </c>
      <c r="I626" t="s">
        <v>2101</v>
      </c>
      <c r="J626">
        <v>4336</v>
      </c>
      <c r="K626">
        <v>22.65</v>
      </c>
      <c r="L626">
        <v>3.1</v>
      </c>
      <c r="M626">
        <v>5.73</v>
      </c>
      <c r="N626">
        <v>2</v>
      </c>
      <c r="O626">
        <v>6</v>
      </c>
      <c r="P626">
        <v>68.760000000000005</v>
      </c>
      <c r="Q626">
        <v>2</v>
      </c>
      <c r="R626">
        <v>66.760000000000005</v>
      </c>
      <c r="AC626" s="1">
        <v>42078</v>
      </c>
    </row>
    <row r="627" spans="1:29" x14ac:dyDescent="0.25">
      <c r="A627" t="s">
        <v>585</v>
      </c>
      <c r="D627" t="s">
        <v>1574</v>
      </c>
      <c r="E627" t="s">
        <v>2023</v>
      </c>
      <c r="F627" t="s">
        <v>2081</v>
      </c>
      <c r="G627" t="s">
        <v>2086</v>
      </c>
      <c r="H627" t="s">
        <v>2092</v>
      </c>
      <c r="I627" t="s">
        <v>2098</v>
      </c>
      <c r="J627">
        <v>1399</v>
      </c>
      <c r="K627">
        <v>5.04</v>
      </c>
      <c r="L627">
        <v>2.7</v>
      </c>
      <c r="M627">
        <v>24.77</v>
      </c>
      <c r="N627">
        <v>5</v>
      </c>
      <c r="O627">
        <v>3</v>
      </c>
      <c r="P627">
        <v>371.54999999999995</v>
      </c>
      <c r="Q627">
        <v>2.14</v>
      </c>
      <c r="R627">
        <v>369.41</v>
      </c>
      <c r="AC627" s="1">
        <v>42906</v>
      </c>
    </row>
    <row r="628" spans="1:29" x14ac:dyDescent="0.25">
      <c r="A628" t="s">
        <v>596</v>
      </c>
      <c r="D628" t="s">
        <v>1583</v>
      </c>
      <c r="E628" t="s">
        <v>2021</v>
      </c>
      <c r="F628" t="s">
        <v>2074</v>
      </c>
      <c r="G628" t="s">
        <v>2086</v>
      </c>
      <c r="H628" t="s">
        <v>2092</v>
      </c>
      <c r="I628" t="s">
        <v>2109</v>
      </c>
      <c r="J628">
        <v>2598</v>
      </c>
      <c r="K628">
        <v>10.76</v>
      </c>
      <c r="L628">
        <v>1.6</v>
      </c>
      <c r="M628">
        <v>15.14</v>
      </c>
      <c r="N628">
        <v>5</v>
      </c>
      <c r="O628">
        <v>19</v>
      </c>
      <c r="P628">
        <v>1438.3</v>
      </c>
      <c r="Q628">
        <v>4.4800000000000004</v>
      </c>
      <c r="R628">
        <v>1433.82</v>
      </c>
      <c r="AC628" s="1">
        <v>42638</v>
      </c>
    </row>
    <row r="629" spans="1:29" x14ac:dyDescent="0.25">
      <c r="A629" t="s">
        <v>690</v>
      </c>
      <c r="D629" t="s">
        <v>1672</v>
      </c>
      <c r="E629" t="s">
        <v>2047</v>
      </c>
      <c r="F629" t="s">
        <v>2080</v>
      </c>
      <c r="G629" t="s">
        <v>2086</v>
      </c>
      <c r="H629" t="s">
        <v>2092</v>
      </c>
      <c r="I629" t="s">
        <v>2099</v>
      </c>
      <c r="J629">
        <v>802</v>
      </c>
      <c r="K629">
        <v>33.17</v>
      </c>
      <c r="L629">
        <v>2.9</v>
      </c>
      <c r="M629">
        <v>19.96</v>
      </c>
      <c r="N629">
        <v>3</v>
      </c>
      <c r="O629">
        <v>6</v>
      </c>
      <c r="P629">
        <v>359.28000000000003</v>
      </c>
      <c r="Q629">
        <v>9.8699999999999992</v>
      </c>
      <c r="R629">
        <v>349.41</v>
      </c>
      <c r="AC629" s="1">
        <v>40299</v>
      </c>
    </row>
    <row r="630" spans="1:29" x14ac:dyDescent="0.25">
      <c r="A630" t="s">
        <v>100</v>
      </c>
      <c r="D630" t="s">
        <v>1110</v>
      </c>
      <c r="E630" t="s">
        <v>2023</v>
      </c>
      <c r="F630" t="s">
        <v>2077</v>
      </c>
      <c r="G630" t="s">
        <v>2089</v>
      </c>
      <c r="H630" t="s">
        <v>2096</v>
      </c>
      <c r="I630" t="s">
        <v>2102</v>
      </c>
      <c r="J630">
        <v>940</v>
      </c>
      <c r="K630">
        <v>33.590000000000003</v>
      </c>
      <c r="L630">
        <v>4.5999999999999996</v>
      </c>
      <c r="M630">
        <v>8.49</v>
      </c>
      <c r="N630">
        <v>5</v>
      </c>
      <c r="O630">
        <v>3</v>
      </c>
      <c r="P630">
        <v>127.35000000000001</v>
      </c>
      <c r="Q630">
        <v>6.05</v>
      </c>
      <c r="R630">
        <v>121.3</v>
      </c>
      <c r="AC630" s="1">
        <v>41617</v>
      </c>
    </row>
    <row r="631" spans="1:29" x14ac:dyDescent="0.25">
      <c r="A631" t="s">
        <v>256</v>
      </c>
      <c r="D631" t="s">
        <v>1263</v>
      </c>
      <c r="E631" t="s">
        <v>2056</v>
      </c>
      <c r="F631" t="s">
        <v>2076</v>
      </c>
      <c r="G631" t="s">
        <v>2089</v>
      </c>
      <c r="H631" t="s">
        <v>2095</v>
      </c>
      <c r="I631" t="s">
        <v>2108</v>
      </c>
      <c r="J631">
        <v>3755</v>
      </c>
      <c r="K631">
        <v>6.01</v>
      </c>
      <c r="L631">
        <v>4.7</v>
      </c>
      <c r="M631">
        <v>12.46</v>
      </c>
      <c r="N631">
        <v>2</v>
      </c>
      <c r="O631">
        <v>17</v>
      </c>
      <c r="P631">
        <v>423.64000000000004</v>
      </c>
      <c r="Q631">
        <v>4.6900000000000004</v>
      </c>
      <c r="R631">
        <v>418.95</v>
      </c>
      <c r="AC631" s="1">
        <v>41123</v>
      </c>
    </row>
    <row r="632" spans="1:29" x14ac:dyDescent="0.25">
      <c r="A632" t="s">
        <v>328</v>
      </c>
      <c r="D632" t="s">
        <v>1331</v>
      </c>
      <c r="E632" t="s">
        <v>2045</v>
      </c>
      <c r="F632" t="s">
        <v>2079</v>
      </c>
      <c r="G632" t="s">
        <v>2089</v>
      </c>
      <c r="H632" t="s">
        <v>2094</v>
      </c>
      <c r="I632" t="s">
        <v>2102</v>
      </c>
      <c r="J632">
        <v>2433</v>
      </c>
      <c r="K632">
        <v>47.17</v>
      </c>
      <c r="L632">
        <v>1.7</v>
      </c>
      <c r="M632">
        <v>36.58</v>
      </c>
      <c r="N632">
        <v>3</v>
      </c>
      <c r="O632">
        <v>16</v>
      </c>
      <c r="P632">
        <v>1755.84</v>
      </c>
      <c r="Q632">
        <v>2</v>
      </c>
      <c r="R632">
        <v>1753.84</v>
      </c>
      <c r="AC632" s="1">
        <v>41763</v>
      </c>
    </row>
    <row r="633" spans="1:29" x14ac:dyDescent="0.25">
      <c r="A633" t="s">
        <v>353</v>
      </c>
      <c r="D633" t="s">
        <v>1356</v>
      </c>
      <c r="E633" t="s">
        <v>2010</v>
      </c>
      <c r="F633" t="s">
        <v>2075</v>
      </c>
      <c r="G633" t="s">
        <v>2089</v>
      </c>
      <c r="H633" t="s">
        <v>2094</v>
      </c>
      <c r="I633" t="s">
        <v>2097</v>
      </c>
      <c r="J633">
        <v>673</v>
      </c>
      <c r="K633">
        <v>29.99</v>
      </c>
      <c r="L633">
        <v>4</v>
      </c>
      <c r="M633">
        <v>11.9</v>
      </c>
      <c r="N633">
        <v>5</v>
      </c>
      <c r="O633">
        <v>20</v>
      </c>
      <c r="P633">
        <v>1190</v>
      </c>
      <c r="Q633">
        <v>2.38</v>
      </c>
      <c r="R633">
        <v>1187.6199999999999</v>
      </c>
      <c r="AC633" s="1">
        <v>42653</v>
      </c>
    </row>
    <row r="634" spans="1:29" x14ac:dyDescent="0.25">
      <c r="A634" t="s">
        <v>592</v>
      </c>
      <c r="D634" t="s">
        <v>1579</v>
      </c>
      <c r="E634" t="s">
        <v>2027</v>
      </c>
      <c r="F634" t="s">
        <v>2077</v>
      </c>
      <c r="G634" t="s">
        <v>2089</v>
      </c>
      <c r="H634" t="s">
        <v>2096</v>
      </c>
      <c r="I634" t="s">
        <v>2106</v>
      </c>
      <c r="J634">
        <v>1670</v>
      </c>
      <c r="K634">
        <v>6.79</v>
      </c>
      <c r="L634">
        <v>2.4</v>
      </c>
      <c r="M634">
        <v>22.06</v>
      </c>
      <c r="N634">
        <v>3</v>
      </c>
      <c r="O634">
        <v>6</v>
      </c>
      <c r="P634">
        <v>397.07999999999993</v>
      </c>
      <c r="Q634">
        <v>1.55</v>
      </c>
      <c r="R634">
        <v>395.53</v>
      </c>
      <c r="AC634" s="1">
        <v>43168</v>
      </c>
    </row>
    <row r="635" spans="1:29" x14ac:dyDescent="0.25">
      <c r="A635" t="s">
        <v>18</v>
      </c>
      <c r="D635" t="s">
        <v>1028</v>
      </c>
      <c r="E635" t="s">
        <v>1974</v>
      </c>
      <c r="F635" t="s">
        <v>2074</v>
      </c>
      <c r="G635" t="s">
        <v>2084</v>
      </c>
      <c r="H635" t="s">
        <v>2093</v>
      </c>
      <c r="I635" t="s">
        <v>2098</v>
      </c>
      <c r="J635">
        <v>4654</v>
      </c>
      <c r="K635">
        <v>49.92</v>
      </c>
      <c r="L635">
        <v>5</v>
      </c>
      <c r="M635">
        <v>12.51</v>
      </c>
      <c r="N635">
        <v>1</v>
      </c>
      <c r="O635">
        <v>18</v>
      </c>
      <c r="P635">
        <v>225.18</v>
      </c>
      <c r="Q635">
        <v>3.3</v>
      </c>
      <c r="R635">
        <v>221.88</v>
      </c>
      <c r="AC635" s="1">
        <v>41885</v>
      </c>
    </row>
    <row r="636" spans="1:29" x14ac:dyDescent="0.25">
      <c r="A636" t="s">
        <v>73</v>
      </c>
      <c r="D636" t="s">
        <v>1083</v>
      </c>
      <c r="E636" t="s">
        <v>2002</v>
      </c>
      <c r="F636" t="s">
        <v>2079</v>
      </c>
      <c r="G636" t="s">
        <v>2084</v>
      </c>
      <c r="H636" t="s">
        <v>2094</v>
      </c>
      <c r="I636" t="s">
        <v>2100</v>
      </c>
      <c r="J636">
        <v>3609</v>
      </c>
      <c r="K636">
        <v>48.97</v>
      </c>
      <c r="L636">
        <v>2.2000000000000002</v>
      </c>
      <c r="M636">
        <v>12.21</v>
      </c>
      <c r="N636">
        <v>1</v>
      </c>
      <c r="O636">
        <v>15</v>
      </c>
      <c r="P636">
        <v>183.15</v>
      </c>
      <c r="Q636">
        <v>4.0999999999999996</v>
      </c>
      <c r="R636">
        <v>179.05</v>
      </c>
      <c r="AC636" s="1">
        <v>41237</v>
      </c>
    </row>
    <row r="637" spans="1:29" x14ac:dyDescent="0.25">
      <c r="A637" t="s">
        <v>351</v>
      </c>
      <c r="D637" t="s">
        <v>1354</v>
      </c>
      <c r="E637" t="s">
        <v>2021</v>
      </c>
      <c r="F637" t="s">
        <v>2077</v>
      </c>
      <c r="G637" t="s">
        <v>2084</v>
      </c>
      <c r="H637" t="s">
        <v>2093</v>
      </c>
      <c r="I637" t="s">
        <v>2098</v>
      </c>
      <c r="J637">
        <v>373</v>
      </c>
      <c r="K637">
        <v>33.619999999999997</v>
      </c>
      <c r="L637">
        <v>3.7</v>
      </c>
      <c r="M637">
        <v>10.02</v>
      </c>
      <c r="N637">
        <v>3</v>
      </c>
      <c r="O637">
        <v>4</v>
      </c>
      <c r="P637">
        <v>120.24</v>
      </c>
      <c r="Q637">
        <v>7.83</v>
      </c>
      <c r="R637">
        <v>112.41</v>
      </c>
      <c r="AC637" s="1">
        <v>41562</v>
      </c>
    </row>
    <row r="638" spans="1:29" x14ac:dyDescent="0.25">
      <c r="A638" t="s">
        <v>447</v>
      </c>
      <c r="D638" t="s">
        <v>1445</v>
      </c>
      <c r="E638" t="s">
        <v>2010</v>
      </c>
      <c r="F638" t="s">
        <v>2079</v>
      </c>
      <c r="G638" t="s">
        <v>2084</v>
      </c>
      <c r="H638" t="s">
        <v>2092</v>
      </c>
      <c r="I638" t="s">
        <v>2110</v>
      </c>
      <c r="J638">
        <v>3053</v>
      </c>
      <c r="K638">
        <v>47.57</v>
      </c>
      <c r="L638">
        <v>4.4000000000000004</v>
      </c>
      <c r="M638">
        <v>33.92</v>
      </c>
      <c r="N638">
        <v>4</v>
      </c>
      <c r="O638">
        <v>20</v>
      </c>
      <c r="P638">
        <v>2713.6000000000004</v>
      </c>
      <c r="Q638">
        <v>7.3</v>
      </c>
      <c r="R638">
        <v>2706.3</v>
      </c>
      <c r="AC638" s="1">
        <v>42668</v>
      </c>
    </row>
    <row r="639" spans="1:29" x14ac:dyDescent="0.25">
      <c r="A639" t="s">
        <v>525</v>
      </c>
      <c r="D639" t="s">
        <v>1520</v>
      </c>
      <c r="E639" t="s">
        <v>2066</v>
      </c>
      <c r="F639" t="s">
        <v>2081</v>
      </c>
      <c r="G639" t="s">
        <v>2084</v>
      </c>
      <c r="H639" t="s">
        <v>2094</v>
      </c>
      <c r="I639" t="s">
        <v>2105</v>
      </c>
      <c r="J639">
        <v>1360</v>
      </c>
      <c r="K639">
        <v>36.68</v>
      </c>
      <c r="L639">
        <v>5</v>
      </c>
      <c r="M639">
        <v>30.62</v>
      </c>
      <c r="N639">
        <v>5</v>
      </c>
      <c r="O639">
        <v>18</v>
      </c>
      <c r="P639">
        <v>2755.7999999999997</v>
      </c>
      <c r="Q639">
        <v>2.88</v>
      </c>
      <c r="R639">
        <v>2752.92</v>
      </c>
      <c r="AC639" s="1">
        <v>41904</v>
      </c>
    </row>
    <row r="640" spans="1:29" x14ac:dyDescent="0.25">
      <c r="A640" t="s">
        <v>675</v>
      </c>
      <c r="D640" t="s">
        <v>1657</v>
      </c>
      <c r="E640" t="s">
        <v>2015</v>
      </c>
      <c r="F640" t="s">
        <v>2080</v>
      </c>
      <c r="G640" t="s">
        <v>2084</v>
      </c>
      <c r="H640" t="s">
        <v>2092</v>
      </c>
      <c r="I640" t="s">
        <v>2098</v>
      </c>
      <c r="J640">
        <v>4970</v>
      </c>
      <c r="K640">
        <v>28.42</v>
      </c>
      <c r="L640">
        <v>3.9</v>
      </c>
      <c r="M640">
        <v>38.93</v>
      </c>
      <c r="N640">
        <v>5</v>
      </c>
      <c r="O640">
        <v>18</v>
      </c>
      <c r="P640">
        <v>3503.7000000000003</v>
      </c>
      <c r="Q640">
        <v>1.52</v>
      </c>
      <c r="R640">
        <v>3502.18</v>
      </c>
      <c r="AC640" s="1">
        <v>40319</v>
      </c>
    </row>
    <row r="641" spans="1:29" x14ac:dyDescent="0.25">
      <c r="A641" t="s">
        <v>707</v>
      </c>
      <c r="D641" t="s">
        <v>1686</v>
      </c>
      <c r="E641" t="s">
        <v>2061</v>
      </c>
      <c r="F641" t="s">
        <v>2080</v>
      </c>
      <c r="G641" t="s">
        <v>2084</v>
      </c>
      <c r="H641" t="s">
        <v>2095</v>
      </c>
      <c r="I641" t="s">
        <v>2105</v>
      </c>
      <c r="J641">
        <v>101</v>
      </c>
      <c r="K641">
        <v>20.71</v>
      </c>
      <c r="L641">
        <v>3.5</v>
      </c>
      <c r="M641">
        <v>26.99</v>
      </c>
      <c r="N641">
        <v>2</v>
      </c>
      <c r="O641">
        <v>8</v>
      </c>
      <c r="P641">
        <v>431.84</v>
      </c>
      <c r="Q641">
        <v>0.41</v>
      </c>
      <c r="R641">
        <v>431.43</v>
      </c>
      <c r="AC641" s="1">
        <v>40422</v>
      </c>
    </row>
    <row r="642" spans="1:29" x14ac:dyDescent="0.25">
      <c r="A642" t="s">
        <v>728</v>
      </c>
      <c r="D642" t="s">
        <v>1707</v>
      </c>
      <c r="E642" t="s">
        <v>2014</v>
      </c>
      <c r="F642" t="s">
        <v>2073</v>
      </c>
      <c r="G642" t="s">
        <v>2084</v>
      </c>
      <c r="H642" t="s">
        <v>2094</v>
      </c>
      <c r="I642" t="s">
        <v>2105</v>
      </c>
      <c r="J642">
        <v>240</v>
      </c>
      <c r="K642">
        <v>34.92</v>
      </c>
      <c r="L642">
        <v>1.1000000000000001</v>
      </c>
      <c r="M642">
        <v>29.76</v>
      </c>
      <c r="N642">
        <v>2</v>
      </c>
      <c r="O642">
        <v>17</v>
      </c>
      <c r="P642">
        <v>1011.84</v>
      </c>
      <c r="Q642">
        <v>1.46</v>
      </c>
      <c r="R642">
        <v>1010.38</v>
      </c>
      <c r="AC642" s="1">
        <v>41185</v>
      </c>
    </row>
    <row r="643" spans="1:29" x14ac:dyDescent="0.25">
      <c r="A643" t="s">
        <v>828</v>
      </c>
      <c r="D643" t="s">
        <v>1798</v>
      </c>
      <c r="E643" t="s">
        <v>1979</v>
      </c>
      <c r="F643" t="s">
        <v>2077</v>
      </c>
      <c r="G643" t="s">
        <v>2084</v>
      </c>
      <c r="H643" t="s">
        <v>2096</v>
      </c>
      <c r="I643" t="s">
        <v>2108</v>
      </c>
      <c r="J643">
        <v>1387</v>
      </c>
      <c r="K643">
        <v>37.49</v>
      </c>
      <c r="L643">
        <v>3.4</v>
      </c>
      <c r="M643">
        <v>28.23</v>
      </c>
      <c r="N643">
        <v>4</v>
      </c>
      <c r="O643">
        <v>2</v>
      </c>
      <c r="P643">
        <v>225.84</v>
      </c>
      <c r="Q643">
        <v>1.02</v>
      </c>
      <c r="R643">
        <v>224.82</v>
      </c>
      <c r="AC643" s="1">
        <v>41514</v>
      </c>
    </row>
    <row r="644" spans="1:29" x14ac:dyDescent="0.25">
      <c r="A644" t="s">
        <v>839</v>
      </c>
      <c r="D644" t="s">
        <v>1808</v>
      </c>
      <c r="E644" t="s">
        <v>2016</v>
      </c>
      <c r="F644" t="s">
        <v>2081</v>
      </c>
      <c r="G644" t="s">
        <v>2084</v>
      </c>
      <c r="H644" t="s">
        <v>2093</v>
      </c>
      <c r="I644" t="s">
        <v>2103</v>
      </c>
      <c r="J644">
        <v>4688</v>
      </c>
      <c r="K644">
        <v>7.09</v>
      </c>
      <c r="L644">
        <v>1.1000000000000001</v>
      </c>
      <c r="M644">
        <v>17.72</v>
      </c>
      <c r="N644">
        <v>5</v>
      </c>
      <c r="O644">
        <v>6</v>
      </c>
      <c r="P644">
        <v>531.59999999999991</v>
      </c>
      <c r="Q644">
        <v>3.82</v>
      </c>
      <c r="R644">
        <v>527.78</v>
      </c>
      <c r="AC644" s="1">
        <v>42930</v>
      </c>
    </row>
    <row r="645" spans="1:29" x14ac:dyDescent="0.25">
      <c r="A645" t="s">
        <v>62</v>
      </c>
      <c r="D645" t="s">
        <v>1072</v>
      </c>
      <c r="E645" t="s">
        <v>2008</v>
      </c>
      <c r="F645" t="s">
        <v>2073</v>
      </c>
      <c r="G645" t="s">
        <v>2090</v>
      </c>
      <c r="H645" t="s">
        <v>2096</v>
      </c>
      <c r="I645" t="s">
        <v>2099</v>
      </c>
      <c r="J645">
        <v>222</v>
      </c>
      <c r="K645">
        <v>30.62</v>
      </c>
      <c r="L645">
        <v>2.5</v>
      </c>
      <c r="M645">
        <v>30.47</v>
      </c>
      <c r="N645">
        <v>1</v>
      </c>
      <c r="O645">
        <v>18</v>
      </c>
      <c r="P645">
        <v>548.46</v>
      </c>
      <c r="Q645">
        <v>6.03</v>
      </c>
      <c r="R645">
        <v>542.42999999999995</v>
      </c>
      <c r="AC645" s="1">
        <v>41054</v>
      </c>
    </row>
    <row r="646" spans="1:29" x14ac:dyDescent="0.25">
      <c r="A646" t="s">
        <v>81</v>
      </c>
      <c r="D646" t="s">
        <v>1091</v>
      </c>
      <c r="E646" t="s">
        <v>1990</v>
      </c>
      <c r="F646" t="s">
        <v>2079</v>
      </c>
      <c r="G646" t="s">
        <v>2090</v>
      </c>
      <c r="H646" t="s">
        <v>2092</v>
      </c>
      <c r="I646" t="s">
        <v>2099</v>
      </c>
      <c r="J646">
        <v>4438</v>
      </c>
      <c r="K646">
        <v>13.42</v>
      </c>
      <c r="L646">
        <v>4.5999999999999996</v>
      </c>
      <c r="M646">
        <v>32.69</v>
      </c>
      <c r="N646">
        <v>3</v>
      </c>
      <c r="O646">
        <v>14</v>
      </c>
      <c r="P646">
        <v>1372.98</v>
      </c>
      <c r="Q646">
        <v>0.36</v>
      </c>
      <c r="R646">
        <v>1372.62</v>
      </c>
      <c r="AC646" s="1">
        <v>41953</v>
      </c>
    </row>
    <row r="647" spans="1:29" x14ac:dyDescent="0.25">
      <c r="A647" t="s">
        <v>419</v>
      </c>
      <c r="D647" t="s">
        <v>1418</v>
      </c>
      <c r="E647" t="s">
        <v>1983</v>
      </c>
      <c r="F647" t="s">
        <v>2079</v>
      </c>
      <c r="G647" t="s">
        <v>2090</v>
      </c>
      <c r="H647" t="s">
        <v>2096</v>
      </c>
      <c r="I647" t="s">
        <v>2104</v>
      </c>
      <c r="J647">
        <v>794</v>
      </c>
      <c r="K647">
        <v>12.87</v>
      </c>
      <c r="L647">
        <v>1.3</v>
      </c>
      <c r="M647">
        <v>37.909999999999997</v>
      </c>
      <c r="N647">
        <v>4</v>
      </c>
      <c r="O647">
        <v>15</v>
      </c>
      <c r="P647">
        <v>2274.6</v>
      </c>
      <c r="Q647">
        <v>8.9499999999999993</v>
      </c>
      <c r="R647">
        <v>2265.65</v>
      </c>
      <c r="AC647" s="1">
        <v>42578</v>
      </c>
    </row>
    <row r="648" spans="1:29" x14ac:dyDescent="0.25">
      <c r="A648" t="s">
        <v>561</v>
      </c>
      <c r="D648" t="s">
        <v>1554</v>
      </c>
      <c r="E648" t="s">
        <v>2014</v>
      </c>
      <c r="F648" t="s">
        <v>2077</v>
      </c>
      <c r="G648" t="s">
        <v>2090</v>
      </c>
      <c r="H648" t="s">
        <v>2093</v>
      </c>
      <c r="I648" t="s">
        <v>2106</v>
      </c>
      <c r="J648">
        <v>821</v>
      </c>
      <c r="K648">
        <v>28.23</v>
      </c>
      <c r="L648">
        <v>1.9</v>
      </c>
      <c r="M648">
        <v>17.59</v>
      </c>
      <c r="N648">
        <v>4</v>
      </c>
      <c r="O648">
        <v>20</v>
      </c>
      <c r="P648">
        <v>1407.2</v>
      </c>
      <c r="Q648">
        <v>1.8</v>
      </c>
      <c r="R648">
        <v>1405.4</v>
      </c>
      <c r="AC648" s="1">
        <v>40452</v>
      </c>
    </row>
    <row r="649" spans="1:29" x14ac:dyDescent="0.25">
      <c r="A649" t="s">
        <v>649</v>
      </c>
      <c r="D649" t="s">
        <v>1633</v>
      </c>
      <c r="E649" t="s">
        <v>1996</v>
      </c>
      <c r="F649" t="s">
        <v>2081</v>
      </c>
      <c r="G649" t="s">
        <v>2090</v>
      </c>
      <c r="H649" t="s">
        <v>2096</v>
      </c>
      <c r="I649" t="s">
        <v>2102</v>
      </c>
      <c r="J649">
        <v>3841</v>
      </c>
      <c r="K649">
        <v>6.34</v>
      </c>
      <c r="L649">
        <v>1.9</v>
      </c>
      <c r="M649">
        <v>37.07</v>
      </c>
      <c r="N649">
        <v>4</v>
      </c>
      <c r="O649">
        <v>12</v>
      </c>
      <c r="P649">
        <v>1779.3600000000001</v>
      </c>
      <c r="Q649">
        <v>0.1</v>
      </c>
      <c r="R649">
        <v>1779.26</v>
      </c>
      <c r="AC649" s="1">
        <v>40568</v>
      </c>
    </row>
    <row r="650" spans="1:29" x14ac:dyDescent="0.25">
      <c r="A650" t="s">
        <v>743</v>
      </c>
      <c r="D650" t="s">
        <v>1721</v>
      </c>
      <c r="E650" t="s">
        <v>1986</v>
      </c>
      <c r="F650" t="s">
        <v>2075</v>
      </c>
      <c r="G650" t="s">
        <v>2090</v>
      </c>
      <c r="H650" t="s">
        <v>2094</v>
      </c>
      <c r="I650" t="s">
        <v>2098</v>
      </c>
      <c r="J650">
        <v>2715</v>
      </c>
      <c r="K650">
        <v>22.09</v>
      </c>
      <c r="L650">
        <v>3.3</v>
      </c>
      <c r="M650">
        <v>39.46</v>
      </c>
      <c r="N650">
        <v>3</v>
      </c>
      <c r="O650">
        <v>5</v>
      </c>
      <c r="P650">
        <v>591.9</v>
      </c>
      <c r="Q650">
        <v>1.3</v>
      </c>
      <c r="R650">
        <v>590.6</v>
      </c>
      <c r="AC650" s="1">
        <v>40183</v>
      </c>
    </row>
    <row r="651" spans="1:29" x14ac:dyDescent="0.25">
      <c r="A651" t="s">
        <v>812</v>
      </c>
      <c r="D651" t="s">
        <v>1783</v>
      </c>
      <c r="E651" t="s">
        <v>2031</v>
      </c>
      <c r="F651" t="s">
        <v>2076</v>
      </c>
      <c r="G651" t="s">
        <v>2090</v>
      </c>
      <c r="H651" t="s">
        <v>2096</v>
      </c>
      <c r="I651" t="s">
        <v>2106</v>
      </c>
      <c r="J651">
        <v>712</v>
      </c>
      <c r="K651">
        <v>27.12</v>
      </c>
      <c r="L651">
        <v>4.0999999999999996</v>
      </c>
      <c r="M651">
        <v>33.630000000000003</v>
      </c>
      <c r="N651">
        <v>5</v>
      </c>
      <c r="O651">
        <v>11</v>
      </c>
      <c r="P651">
        <v>1849.65</v>
      </c>
      <c r="Q651">
        <v>8.18</v>
      </c>
      <c r="R651">
        <v>1841.47</v>
      </c>
      <c r="AC651" s="1">
        <v>40450</v>
      </c>
    </row>
    <row r="652" spans="1:29" x14ac:dyDescent="0.25">
      <c r="A652" t="s">
        <v>897</v>
      </c>
      <c r="D652" t="s">
        <v>1862</v>
      </c>
      <c r="E652" t="s">
        <v>2057</v>
      </c>
      <c r="F652" t="s">
        <v>2078</v>
      </c>
      <c r="G652" t="s">
        <v>2090</v>
      </c>
      <c r="H652" t="s">
        <v>2092</v>
      </c>
      <c r="I652" t="s">
        <v>2110</v>
      </c>
      <c r="J652">
        <v>1177</v>
      </c>
      <c r="K652">
        <v>18.350000000000001</v>
      </c>
      <c r="L652">
        <v>3.9</v>
      </c>
      <c r="M652">
        <v>38.799999999999997</v>
      </c>
      <c r="N652">
        <v>4</v>
      </c>
      <c r="O652">
        <v>14</v>
      </c>
      <c r="P652">
        <v>2172.7999999999997</v>
      </c>
      <c r="Q652">
        <v>1.52</v>
      </c>
      <c r="R652">
        <v>2171.2800000000002</v>
      </c>
      <c r="AC652" s="1">
        <v>42158</v>
      </c>
    </row>
    <row r="653" spans="1:29" x14ac:dyDescent="0.25">
      <c r="A653" t="s">
        <v>26</v>
      </c>
      <c r="D653" t="s">
        <v>1036</v>
      </c>
      <c r="E653" t="s">
        <v>1973</v>
      </c>
      <c r="F653" t="s">
        <v>2075</v>
      </c>
      <c r="G653" t="s">
        <v>2083</v>
      </c>
      <c r="H653" t="s">
        <v>2095</v>
      </c>
      <c r="I653" t="s">
        <v>2097</v>
      </c>
      <c r="J653">
        <v>1802</v>
      </c>
      <c r="K653">
        <v>8.58</v>
      </c>
      <c r="L653">
        <v>2.6</v>
      </c>
      <c r="M653">
        <v>19.22</v>
      </c>
      <c r="N653">
        <v>3</v>
      </c>
      <c r="O653">
        <v>15</v>
      </c>
      <c r="P653">
        <v>864.9</v>
      </c>
      <c r="Q653">
        <v>6.8</v>
      </c>
      <c r="R653">
        <v>858.1</v>
      </c>
      <c r="AC653" s="1">
        <v>40398</v>
      </c>
    </row>
    <row r="654" spans="1:29" x14ac:dyDescent="0.25">
      <c r="A654" t="s">
        <v>254</v>
      </c>
      <c r="D654" t="s">
        <v>1261</v>
      </c>
      <c r="E654" t="s">
        <v>2031</v>
      </c>
      <c r="F654" t="s">
        <v>2075</v>
      </c>
      <c r="G654" t="s">
        <v>2083</v>
      </c>
      <c r="H654" t="s">
        <v>2095</v>
      </c>
      <c r="I654" t="s">
        <v>2104</v>
      </c>
      <c r="J654">
        <v>1608</v>
      </c>
      <c r="K654">
        <v>19.21</v>
      </c>
      <c r="L654">
        <v>2.1</v>
      </c>
      <c r="M654">
        <v>35.61</v>
      </c>
      <c r="N654">
        <v>2</v>
      </c>
      <c r="O654">
        <v>14</v>
      </c>
      <c r="P654">
        <v>997.07999999999993</v>
      </c>
      <c r="Q654">
        <v>9.8800000000000008</v>
      </c>
      <c r="R654">
        <v>987.2</v>
      </c>
      <c r="AC654" s="1">
        <v>42743</v>
      </c>
    </row>
    <row r="655" spans="1:29" x14ac:dyDescent="0.25">
      <c r="A655" t="s">
        <v>324</v>
      </c>
      <c r="D655" t="s">
        <v>1327</v>
      </c>
      <c r="E655" t="s">
        <v>2053</v>
      </c>
      <c r="F655" t="s">
        <v>2077</v>
      </c>
      <c r="G655" t="s">
        <v>2083</v>
      </c>
      <c r="H655" t="s">
        <v>2092</v>
      </c>
      <c r="I655" t="s">
        <v>2111</v>
      </c>
      <c r="J655">
        <v>601</v>
      </c>
      <c r="K655">
        <v>10.59</v>
      </c>
      <c r="L655">
        <v>1.4</v>
      </c>
      <c r="M655">
        <v>12.88</v>
      </c>
      <c r="N655">
        <v>4</v>
      </c>
      <c r="O655">
        <v>1</v>
      </c>
      <c r="P655">
        <v>51.52</v>
      </c>
      <c r="Q655">
        <v>3.39</v>
      </c>
      <c r="R655">
        <v>48.13</v>
      </c>
      <c r="AC655" s="1">
        <v>42750</v>
      </c>
    </row>
    <row r="656" spans="1:29" x14ac:dyDescent="0.25">
      <c r="A656" t="s">
        <v>418</v>
      </c>
      <c r="D656" t="s">
        <v>1417</v>
      </c>
      <c r="E656" t="s">
        <v>2057</v>
      </c>
      <c r="F656" t="s">
        <v>2078</v>
      </c>
      <c r="G656" t="s">
        <v>2083</v>
      </c>
      <c r="H656" t="s">
        <v>2093</v>
      </c>
      <c r="I656" t="s">
        <v>2100</v>
      </c>
      <c r="J656">
        <v>3511</v>
      </c>
      <c r="K656">
        <v>20.86</v>
      </c>
      <c r="L656">
        <v>1.2</v>
      </c>
      <c r="M656">
        <v>37.92</v>
      </c>
      <c r="N656">
        <v>3</v>
      </c>
      <c r="O656">
        <v>18</v>
      </c>
      <c r="P656">
        <v>2047.68</v>
      </c>
      <c r="Q656">
        <v>2.59</v>
      </c>
      <c r="R656">
        <v>2045.09</v>
      </c>
      <c r="AC656" s="1">
        <v>40505</v>
      </c>
    </row>
    <row r="657" spans="1:29" x14ac:dyDescent="0.25">
      <c r="A657" t="s">
        <v>454</v>
      </c>
      <c r="D657" t="s">
        <v>1452</v>
      </c>
      <c r="E657" t="s">
        <v>2002</v>
      </c>
      <c r="F657" t="s">
        <v>2074</v>
      </c>
      <c r="G657" t="s">
        <v>2083</v>
      </c>
      <c r="H657" t="s">
        <v>2093</v>
      </c>
      <c r="I657" t="s">
        <v>2097</v>
      </c>
      <c r="J657">
        <v>557</v>
      </c>
      <c r="K657">
        <v>46.07</v>
      </c>
      <c r="L657">
        <v>3.9</v>
      </c>
      <c r="M657">
        <v>38.76</v>
      </c>
      <c r="N657">
        <v>1</v>
      </c>
      <c r="O657">
        <v>15</v>
      </c>
      <c r="P657">
        <v>581.4</v>
      </c>
      <c r="Q657">
        <v>0.23</v>
      </c>
      <c r="R657">
        <v>581.16999999999996</v>
      </c>
      <c r="AC657" s="1">
        <v>41031</v>
      </c>
    </row>
    <row r="658" spans="1:29" x14ac:dyDescent="0.25">
      <c r="A658" t="s">
        <v>763</v>
      </c>
      <c r="D658" t="s">
        <v>1739</v>
      </c>
      <c r="E658" t="s">
        <v>1973</v>
      </c>
      <c r="F658" t="s">
        <v>2076</v>
      </c>
      <c r="G658" t="s">
        <v>2083</v>
      </c>
      <c r="H658" t="s">
        <v>2093</v>
      </c>
      <c r="I658" t="s">
        <v>2110</v>
      </c>
      <c r="J658">
        <v>3900</v>
      </c>
      <c r="K658">
        <v>17.43</v>
      </c>
      <c r="L658">
        <v>4.3</v>
      </c>
      <c r="M658">
        <v>17.399999999999999</v>
      </c>
      <c r="N658">
        <v>2</v>
      </c>
      <c r="O658">
        <v>16</v>
      </c>
      <c r="P658">
        <v>556.79999999999995</v>
      </c>
      <c r="Q658">
        <v>7.68</v>
      </c>
      <c r="R658">
        <v>549.12</v>
      </c>
      <c r="AC658" s="1">
        <v>41585</v>
      </c>
    </row>
    <row r="659" spans="1:29" x14ac:dyDescent="0.25">
      <c r="A659" t="s">
        <v>782</v>
      </c>
      <c r="D659" t="s">
        <v>1758</v>
      </c>
      <c r="E659" t="s">
        <v>2057</v>
      </c>
      <c r="F659" t="s">
        <v>2076</v>
      </c>
      <c r="G659" t="s">
        <v>2083</v>
      </c>
      <c r="H659" t="s">
        <v>2096</v>
      </c>
      <c r="I659" t="s">
        <v>2102</v>
      </c>
      <c r="J659">
        <v>3228</v>
      </c>
      <c r="K659">
        <v>24.26</v>
      </c>
      <c r="L659">
        <v>1.2</v>
      </c>
      <c r="M659">
        <v>25.81</v>
      </c>
      <c r="N659">
        <v>1</v>
      </c>
      <c r="O659">
        <v>14</v>
      </c>
      <c r="P659">
        <v>361.34</v>
      </c>
      <c r="Q659">
        <v>9.31</v>
      </c>
      <c r="R659">
        <v>352.03</v>
      </c>
      <c r="AC659" s="1">
        <v>42311</v>
      </c>
    </row>
    <row r="660" spans="1:29" x14ac:dyDescent="0.25">
      <c r="A660" t="s">
        <v>968</v>
      </c>
      <c r="D660" t="s">
        <v>1928</v>
      </c>
      <c r="E660" t="s">
        <v>2072</v>
      </c>
      <c r="F660" t="s">
        <v>2073</v>
      </c>
      <c r="G660" t="s">
        <v>2083</v>
      </c>
      <c r="H660" t="s">
        <v>2096</v>
      </c>
      <c r="I660" t="s">
        <v>2097</v>
      </c>
      <c r="J660">
        <v>4634</v>
      </c>
      <c r="K660">
        <v>38.42</v>
      </c>
      <c r="L660">
        <v>1.3</v>
      </c>
      <c r="M660">
        <v>11.67</v>
      </c>
      <c r="N660">
        <v>4</v>
      </c>
      <c r="O660">
        <v>8</v>
      </c>
      <c r="P660">
        <v>373.44</v>
      </c>
      <c r="Q660">
        <v>2.38</v>
      </c>
      <c r="R660">
        <v>371.06</v>
      </c>
      <c r="AC660" s="1">
        <v>42435</v>
      </c>
    </row>
    <row r="661" spans="1:29" x14ac:dyDescent="0.25">
      <c r="A661" t="s">
        <v>375</v>
      </c>
      <c r="D661" t="s">
        <v>1198</v>
      </c>
      <c r="E661" t="s">
        <v>2064</v>
      </c>
      <c r="F661" t="s">
        <v>2079</v>
      </c>
      <c r="G661" t="s">
        <v>2087</v>
      </c>
      <c r="H661" t="s">
        <v>2092</v>
      </c>
      <c r="I661" t="s">
        <v>2107</v>
      </c>
      <c r="J661">
        <v>1360</v>
      </c>
      <c r="K661">
        <v>28.92</v>
      </c>
      <c r="L661">
        <v>1</v>
      </c>
      <c r="M661">
        <v>11.35</v>
      </c>
      <c r="N661">
        <v>1</v>
      </c>
      <c r="O661">
        <v>15</v>
      </c>
      <c r="P661">
        <v>170.25</v>
      </c>
      <c r="Q661">
        <v>1.9</v>
      </c>
      <c r="R661">
        <v>168.35</v>
      </c>
      <c r="AC661" s="1">
        <v>42529</v>
      </c>
    </row>
    <row r="662" spans="1:29" x14ac:dyDescent="0.25">
      <c r="A662" t="s">
        <v>407</v>
      </c>
      <c r="D662" t="s">
        <v>1407</v>
      </c>
      <c r="E662" t="s">
        <v>2047</v>
      </c>
      <c r="F662" t="s">
        <v>2078</v>
      </c>
      <c r="G662" t="s">
        <v>2087</v>
      </c>
      <c r="H662" t="s">
        <v>2096</v>
      </c>
      <c r="I662" t="s">
        <v>2103</v>
      </c>
      <c r="J662">
        <v>69</v>
      </c>
      <c r="K662">
        <v>5.54</v>
      </c>
      <c r="L662">
        <v>2.2999999999999998</v>
      </c>
      <c r="M662">
        <v>5.41</v>
      </c>
      <c r="N662">
        <v>3</v>
      </c>
      <c r="O662">
        <v>17</v>
      </c>
      <c r="P662">
        <v>275.91000000000003</v>
      </c>
      <c r="Q662">
        <v>0.88</v>
      </c>
      <c r="R662">
        <v>275.02999999999997</v>
      </c>
      <c r="AC662" s="1">
        <v>43190</v>
      </c>
    </row>
    <row r="663" spans="1:29" x14ac:dyDescent="0.25">
      <c r="A663" t="s">
        <v>565</v>
      </c>
      <c r="D663" t="s">
        <v>1557</v>
      </c>
      <c r="E663" t="s">
        <v>1993</v>
      </c>
      <c r="F663" t="s">
        <v>2077</v>
      </c>
      <c r="G663" t="s">
        <v>2087</v>
      </c>
      <c r="H663" t="s">
        <v>2094</v>
      </c>
      <c r="I663" t="s">
        <v>2110</v>
      </c>
      <c r="J663">
        <v>2106</v>
      </c>
      <c r="K663">
        <v>45.15</v>
      </c>
      <c r="L663">
        <v>2.2999999999999998</v>
      </c>
      <c r="M663">
        <v>11.64</v>
      </c>
      <c r="N663">
        <v>4</v>
      </c>
      <c r="O663">
        <v>13</v>
      </c>
      <c r="P663">
        <v>605.28</v>
      </c>
      <c r="Q663">
        <v>0.02</v>
      </c>
      <c r="R663">
        <v>605.26</v>
      </c>
      <c r="AC663" s="1">
        <v>41136</v>
      </c>
    </row>
    <row r="664" spans="1:29" x14ac:dyDescent="0.25">
      <c r="A664" t="s">
        <v>591</v>
      </c>
      <c r="D664" t="s">
        <v>1578</v>
      </c>
      <c r="E664" t="s">
        <v>2071</v>
      </c>
      <c r="F664" t="s">
        <v>2079</v>
      </c>
      <c r="G664" t="s">
        <v>2087</v>
      </c>
      <c r="H664" t="s">
        <v>2092</v>
      </c>
      <c r="I664" t="s">
        <v>2105</v>
      </c>
      <c r="J664">
        <v>3678</v>
      </c>
      <c r="K664">
        <v>9.8699999999999992</v>
      </c>
      <c r="L664">
        <v>1.4</v>
      </c>
      <c r="M664">
        <v>22.11</v>
      </c>
      <c r="N664">
        <v>3</v>
      </c>
      <c r="O664">
        <v>5</v>
      </c>
      <c r="P664">
        <v>331.65</v>
      </c>
      <c r="Q664">
        <v>0.96</v>
      </c>
      <c r="R664">
        <v>330.69</v>
      </c>
      <c r="AC664" s="1">
        <v>40753</v>
      </c>
    </row>
    <row r="665" spans="1:29" x14ac:dyDescent="0.25">
      <c r="A665" t="s">
        <v>739</v>
      </c>
      <c r="D665" t="s">
        <v>1717</v>
      </c>
      <c r="E665" t="s">
        <v>2040</v>
      </c>
      <c r="F665" t="s">
        <v>2076</v>
      </c>
      <c r="G665" t="s">
        <v>2087</v>
      </c>
      <c r="H665" t="s">
        <v>2096</v>
      </c>
      <c r="I665" t="s">
        <v>2111</v>
      </c>
      <c r="J665">
        <v>3463</v>
      </c>
      <c r="K665">
        <v>6.66</v>
      </c>
      <c r="L665">
        <v>4.0999999999999996</v>
      </c>
      <c r="M665">
        <v>35.81</v>
      </c>
      <c r="N665">
        <v>5</v>
      </c>
      <c r="O665">
        <v>17</v>
      </c>
      <c r="P665">
        <v>3043.8500000000004</v>
      </c>
      <c r="Q665">
        <v>3.79</v>
      </c>
      <c r="R665">
        <v>3040.06</v>
      </c>
      <c r="AC665" s="1">
        <v>43164</v>
      </c>
    </row>
    <row r="666" spans="1:29" x14ac:dyDescent="0.25">
      <c r="A666" t="s">
        <v>884</v>
      </c>
      <c r="D666" t="s">
        <v>1850</v>
      </c>
      <c r="E666" t="s">
        <v>2034</v>
      </c>
      <c r="F666" t="s">
        <v>2076</v>
      </c>
      <c r="G666" t="s">
        <v>2087</v>
      </c>
      <c r="H666" t="s">
        <v>2094</v>
      </c>
      <c r="I666" t="s">
        <v>2106</v>
      </c>
      <c r="J666">
        <v>4934</v>
      </c>
      <c r="K666">
        <v>24.27</v>
      </c>
      <c r="L666">
        <v>1.9</v>
      </c>
      <c r="M666">
        <v>36.53</v>
      </c>
      <c r="N666">
        <v>1</v>
      </c>
      <c r="O666">
        <v>18</v>
      </c>
      <c r="P666">
        <v>657.54</v>
      </c>
      <c r="Q666">
        <v>0.18</v>
      </c>
      <c r="R666">
        <v>657.36</v>
      </c>
      <c r="AC666" s="1">
        <v>41144</v>
      </c>
    </row>
    <row r="667" spans="1:29" x14ac:dyDescent="0.25">
      <c r="A667" t="s">
        <v>895</v>
      </c>
      <c r="D667" t="s">
        <v>1860</v>
      </c>
      <c r="E667" t="s">
        <v>2002</v>
      </c>
      <c r="F667" t="s">
        <v>2082</v>
      </c>
      <c r="G667" t="s">
        <v>2087</v>
      </c>
      <c r="H667" t="s">
        <v>2095</v>
      </c>
      <c r="I667" t="s">
        <v>2105</v>
      </c>
      <c r="J667">
        <v>4172</v>
      </c>
      <c r="K667">
        <v>5.67</v>
      </c>
      <c r="L667">
        <v>2.5</v>
      </c>
      <c r="M667">
        <v>11.45</v>
      </c>
      <c r="N667">
        <v>4</v>
      </c>
      <c r="O667">
        <v>8</v>
      </c>
      <c r="P667">
        <v>366.4</v>
      </c>
      <c r="Q667">
        <v>0.7</v>
      </c>
      <c r="R667">
        <v>365.7</v>
      </c>
      <c r="AC667" s="1">
        <v>42660</v>
      </c>
    </row>
    <row r="668" spans="1:29" x14ac:dyDescent="0.25">
      <c r="A668" t="s">
        <v>911</v>
      </c>
      <c r="D668" t="s">
        <v>1876</v>
      </c>
      <c r="E668" t="s">
        <v>2043</v>
      </c>
      <c r="F668" t="s">
        <v>2082</v>
      </c>
      <c r="G668" t="s">
        <v>2087</v>
      </c>
      <c r="H668" t="s">
        <v>2096</v>
      </c>
      <c r="I668" t="s">
        <v>2111</v>
      </c>
      <c r="J668">
        <v>2399</v>
      </c>
      <c r="K668">
        <v>43.91</v>
      </c>
      <c r="L668">
        <v>4.3</v>
      </c>
      <c r="M668">
        <v>9.91</v>
      </c>
      <c r="N668">
        <v>4</v>
      </c>
      <c r="O668">
        <v>16</v>
      </c>
      <c r="P668">
        <v>634.24</v>
      </c>
      <c r="Q668">
        <v>0.99</v>
      </c>
      <c r="R668">
        <v>633.25</v>
      </c>
      <c r="AC668" s="1">
        <v>40944</v>
      </c>
    </row>
    <row r="669" spans="1:29" x14ac:dyDescent="0.25">
      <c r="A669" t="s">
        <v>942</v>
      </c>
      <c r="D669" t="s">
        <v>1905</v>
      </c>
      <c r="E669" t="s">
        <v>2042</v>
      </c>
      <c r="F669" t="s">
        <v>2081</v>
      </c>
      <c r="G669" t="s">
        <v>2087</v>
      </c>
      <c r="H669" t="s">
        <v>2093</v>
      </c>
      <c r="I669" t="s">
        <v>2098</v>
      </c>
      <c r="J669">
        <v>4101</v>
      </c>
      <c r="K669">
        <v>40.64</v>
      </c>
      <c r="L669">
        <v>4</v>
      </c>
      <c r="M669">
        <v>16.43</v>
      </c>
      <c r="N669">
        <v>2</v>
      </c>
      <c r="O669">
        <v>7</v>
      </c>
      <c r="P669">
        <v>230.01999999999998</v>
      </c>
      <c r="Q669">
        <v>0.6</v>
      </c>
      <c r="R669">
        <v>229.42</v>
      </c>
      <c r="AC669" s="1">
        <v>41285</v>
      </c>
    </row>
    <row r="670" spans="1:29" x14ac:dyDescent="0.25">
      <c r="A670" t="s">
        <v>1016</v>
      </c>
      <c r="D670" t="s">
        <v>1972</v>
      </c>
      <c r="E670" t="s">
        <v>2000</v>
      </c>
      <c r="F670" t="s">
        <v>2081</v>
      </c>
      <c r="G670" t="s">
        <v>2087</v>
      </c>
      <c r="H670" t="s">
        <v>2092</v>
      </c>
      <c r="I670" t="s">
        <v>2104</v>
      </c>
      <c r="J670">
        <v>4300</v>
      </c>
      <c r="K670">
        <v>11.19</v>
      </c>
      <c r="L670">
        <v>4.0999999999999996</v>
      </c>
      <c r="M670">
        <v>29.01</v>
      </c>
      <c r="N670">
        <v>2</v>
      </c>
      <c r="O670">
        <v>3</v>
      </c>
      <c r="P670">
        <v>174.06</v>
      </c>
      <c r="Q670">
        <v>2.21</v>
      </c>
      <c r="R670">
        <v>171.85</v>
      </c>
      <c r="AC670" s="1">
        <v>41773</v>
      </c>
    </row>
    <row r="671" spans="1:29" x14ac:dyDescent="0.25">
      <c r="A671" t="s">
        <v>25</v>
      </c>
      <c r="D671" t="s">
        <v>1035</v>
      </c>
      <c r="E671" t="s">
        <v>1981</v>
      </c>
      <c r="F671" t="s">
        <v>2077</v>
      </c>
      <c r="G671" t="s">
        <v>2088</v>
      </c>
      <c r="H671" t="s">
        <v>2094</v>
      </c>
      <c r="I671" t="s">
        <v>2105</v>
      </c>
      <c r="J671">
        <v>1767</v>
      </c>
      <c r="K671">
        <v>20.12</v>
      </c>
      <c r="L671">
        <v>3.6</v>
      </c>
      <c r="M671">
        <v>10.5</v>
      </c>
      <c r="N671">
        <v>2</v>
      </c>
      <c r="O671">
        <v>8</v>
      </c>
      <c r="P671">
        <v>168</v>
      </c>
      <c r="Q671">
        <v>2.4300000000000002</v>
      </c>
      <c r="R671">
        <v>165.57</v>
      </c>
      <c r="AC671" s="1">
        <v>42396</v>
      </c>
    </row>
    <row r="672" spans="1:29" x14ac:dyDescent="0.25">
      <c r="A672" t="s">
        <v>60</v>
      </c>
      <c r="D672" t="s">
        <v>1070</v>
      </c>
      <c r="E672" t="s">
        <v>1999</v>
      </c>
      <c r="F672" t="s">
        <v>2076</v>
      </c>
      <c r="G672" t="s">
        <v>2088</v>
      </c>
      <c r="H672" t="s">
        <v>2095</v>
      </c>
      <c r="I672" t="s">
        <v>2105</v>
      </c>
      <c r="J672">
        <v>500</v>
      </c>
      <c r="K672">
        <v>41.33</v>
      </c>
      <c r="L672">
        <v>4.0999999999999996</v>
      </c>
      <c r="M672">
        <v>10.65</v>
      </c>
      <c r="N672">
        <v>4</v>
      </c>
      <c r="O672">
        <v>7</v>
      </c>
      <c r="P672">
        <v>298.2</v>
      </c>
      <c r="Q672">
        <v>7.89</v>
      </c>
      <c r="R672">
        <v>290.31</v>
      </c>
      <c r="AC672" s="1">
        <v>41176</v>
      </c>
    </row>
    <row r="673" spans="1:29" x14ac:dyDescent="0.25">
      <c r="A673" t="s">
        <v>93</v>
      </c>
      <c r="D673" t="s">
        <v>1103</v>
      </c>
      <c r="E673" t="s">
        <v>2005</v>
      </c>
      <c r="F673" t="s">
        <v>2073</v>
      </c>
      <c r="G673" t="s">
        <v>2088</v>
      </c>
      <c r="H673" t="s">
        <v>2093</v>
      </c>
      <c r="I673" t="s">
        <v>2098</v>
      </c>
      <c r="J673">
        <v>2259</v>
      </c>
      <c r="K673">
        <v>12.83</v>
      </c>
      <c r="L673">
        <v>3.4</v>
      </c>
      <c r="M673">
        <v>27.94</v>
      </c>
      <c r="N673">
        <v>1</v>
      </c>
      <c r="O673">
        <v>12</v>
      </c>
      <c r="P673">
        <v>335.28000000000003</v>
      </c>
      <c r="Q673">
        <v>1.03</v>
      </c>
      <c r="R673">
        <v>334.25</v>
      </c>
      <c r="AC673" s="1">
        <v>42971</v>
      </c>
    </row>
    <row r="674" spans="1:29" x14ac:dyDescent="0.25">
      <c r="A674" t="s">
        <v>188</v>
      </c>
      <c r="D674" t="s">
        <v>1197</v>
      </c>
      <c r="E674" t="s">
        <v>1997</v>
      </c>
      <c r="F674" t="s">
        <v>2079</v>
      </c>
      <c r="G674" t="s">
        <v>2088</v>
      </c>
      <c r="H674" t="s">
        <v>2093</v>
      </c>
      <c r="I674" t="s">
        <v>2109</v>
      </c>
      <c r="J674">
        <v>2621</v>
      </c>
      <c r="K674">
        <v>11.38</v>
      </c>
      <c r="L674">
        <v>1.6</v>
      </c>
      <c r="M674">
        <v>15.37</v>
      </c>
      <c r="N674">
        <v>5</v>
      </c>
      <c r="O674">
        <v>1</v>
      </c>
      <c r="P674">
        <v>76.849999999999994</v>
      </c>
      <c r="Q674">
        <v>0.52</v>
      </c>
      <c r="R674">
        <v>76.33</v>
      </c>
      <c r="AC674" s="1">
        <v>42332</v>
      </c>
    </row>
    <row r="675" spans="1:29" x14ac:dyDescent="0.25">
      <c r="A675" t="s">
        <v>478</v>
      </c>
      <c r="D675" t="s">
        <v>1476</v>
      </c>
      <c r="E675" t="s">
        <v>2070</v>
      </c>
      <c r="F675" t="s">
        <v>2078</v>
      </c>
      <c r="G675" t="s">
        <v>2088</v>
      </c>
      <c r="H675" t="s">
        <v>2096</v>
      </c>
      <c r="I675" t="s">
        <v>2104</v>
      </c>
      <c r="J675">
        <v>4921</v>
      </c>
      <c r="K675">
        <v>5.36</v>
      </c>
      <c r="L675">
        <v>3.2</v>
      </c>
      <c r="M675">
        <v>5.0999999999999996</v>
      </c>
      <c r="N675">
        <v>2</v>
      </c>
      <c r="O675">
        <v>2</v>
      </c>
      <c r="P675">
        <v>20.399999999999999</v>
      </c>
      <c r="Q675">
        <v>0.59</v>
      </c>
      <c r="R675">
        <v>19.809999999999999</v>
      </c>
      <c r="AC675" s="1">
        <v>40255</v>
      </c>
    </row>
    <row r="676" spans="1:29" x14ac:dyDescent="0.25">
      <c r="A676" t="s">
        <v>510</v>
      </c>
      <c r="D676" t="s">
        <v>1505</v>
      </c>
      <c r="E676" t="s">
        <v>2018</v>
      </c>
      <c r="F676" t="s">
        <v>2074</v>
      </c>
      <c r="G676" t="s">
        <v>2088</v>
      </c>
      <c r="H676" t="s">
        <v>2094</v>
      </c>
      <c r="I676" t="s">
        <v>2098</v>
      </c>
      <c r="J676">
        <v>3290</v>
      </c>
      <c r="K676">
        <v>34.15</v>
      </c>
      <c r="L676">
        <v>1.2</v>
      </c>
      <c r="M676">
        <v>33.090000000000003</v>
      </c>
      <c r="N676">
        <v>1</v>
      </c>
      <c r="O676">
        <v>19</v>
      </c>
      <c r="P676">
        <v>628.71</v>
      </c>
      <c r="Q676">
        <v>2.5299999999999998</v>
      </c>
      <c r="R676">
        <v>626.17999999999995</v>
      </c>
      <c r="AC676" s="1">
        <v>40866</v>
      </c>
    </row>
    <row r="677" spans="1:29" x14ac:dyDescent="0.25">
      <c r="A677" t="s">
        <v>514</v>
      </c>
      <c r="D677" t="s">
        <v>1509</v>
      </c>
      <c r="E677" t="s">
        <v>2033</v>
      </c>
      <c r="F677" t="s">
        <v>2078</v>
      </c>
      <c r="G677" t="s">
        <v>2088</v>
      </c>
      <c r="H677" t="s">
        <v>2093</v>
      </c>
      <c r="I677" t="s">
        <v>2106</v>
      </c>
      <c r="J677">
        <v>3657</v>
      </c>
      <c r="K677">
        <v>10.86</v>
      </c>
      <c r="L677">
        <v>1.7</v>
      </c>
      <c r="M677">
        <v>38.07</v>
      </c>
      <c r="N677">
        <v>3</v>
      </c>
      <c r="O677">
        <v>1</v>
      </c>
      <c r="P677">
        <v>114.21000000000001</v>
      </c>
      <c r="Q677">
        <v>3.21</v>
      </c>
      <c r="R677">
        <v>111</v>
      </c>
      <c r="AC677" s="1">
        <v>41486</v>
      </c>
    </row>
    <row r="678" spans="1:29" x14ac:dyDescent="0.25">
      <c r="A678" t="s">
        <v>660</v>
      </c>
      <c r="D678" t="s">
        <v>1644</v>
      </c>
      <c r="E678" t="s">
        <v>2026</v>
      </c>
      <c r="F678" t="s">
        <v>2076</v>
      </c>
      <c r="G678" t="s">
        <v>2088</v>
      </c>
      <c r="H678" t="s">
        <v>2092</v>
      </c>
      <c r="I678" t="s">
        <v>2108</v>
      </c>
      <c r="J678">
        <v>4164</v>
      </c>
      <c r="K678">
        <v>28.45</v>
      </c>
      <c r="L678">
        <v>3</v>
      </c>
      <c r="M678">
        <v>11.07</v>
      </c>
      <c r="N678">
        <v>2</v>
      </c>
      <c r="O678">
        <v>1</v>
      </c>
      <c r="P678">
        <v>22.14</v>
      </c>
      <c r="Q678">
        <v>4.28</v>
      </c>
      <c r="R678">
        <v>17.86</v>
      </c>
      <c r="AC678" s="1">
        <v>40892</v>
      </c>
    </row>
    <row r="679" spans="1:29" x14ac:dyDescent="0.25">
      <c r="A679" t="s">
        <v>748</v>
      </c>
      <c r="D679" t="s">
        <v>1726</v>
      </c>
      <c r="E679" t="s">
        <v>2020</v>
      </c>
      <c r="F679" t="s">
        <v>2082</v>
      </c>
      <c r="G679" t="s">
        <v>2088</v>
      </c>
      <c r="H679" t="s">
        <v>2095</v>
      </c>
      <c r="I679" t="s">
        <v>2111</v>
      </c>
      <c r="J679">
        <v>4781</v>
      </c>
      <c r="K679">
        <v>31.99</v>
      </c>
      <c r="L679">
        <v>4.0999999999999996</v>
      </c>
      <c r="M679">
        <v>28.94</v>
      </c>
      <c r="N679">
        <v>1</v>
      </c>
      <c r="O679">
        <v>7</v>
      </c>
      <c r="P679">
        <v>202.58</v>
      </c>
      <c r="Q679">
        <v>3.19</v>
      </c>
      <c r="R679">
        <v>199.39</v>
      </c>
      <c r="AC679" s="1">
        <v>42011</v>
      </c>
    </row>
    <row r="680" spans="1:29" x14ac:dyDescent="0.25">
      <c r="A680" t="s">
        <v>788</v>
      </c>
      <c r="D680" t="s">
        <v>1764</v>
      </c>
      <c r="E680" t="s">
        <v>1997</v>
      </c>
      <c r="F680" t="s">
        <v>2074</v>
      </c>
      <c r="G680" t="s">
        <v>2088</v>
      </c>
      <c r="H680" t="s">
        <v>2094</v>
      </c>
      <c r="I680" t="s">
        <v>2100</v>
      </c>
      <c r="J680">
        <v>3648</v>
      </c>
      <c r="K680">
        <v>31.17</v>
      </c>
      <c r="L680">
        <v>3.3</v>
      </c>
      <c r="M680">
        <v>22.64</v>
      </c>
      <c r="N680">
        <v>3</v>
      </c>
      <c r="O680">
        <v>8</v>
      </c>
      <c r="P680">
        <v>543.36</v>
      </c>
      <c r="Q680">
        <v>4.5199999999999996</v>
      </c>
      <c r="R680">
        <v>538.84</v>
      </c>
      <c r="AC680" s="1">
        <v>40898</v>
      </c>
    </row>
    <row r="681" spans="1:29" x14ac:dyDescent="0.25">
      <c r="A681" t="s">
        <v>936</v>
      </c>
      <c r="D681" t="s">
        <v>1794</v>
      </c>
      <c r="E681" t="s">
        <v>2040</v>
      </c>
      <c r="F681" t="s">
        <v>2078</v>
      </c>
      <c r="G681" t="s">
        <v>2088</v>
      </c>
      <c r="H681" t="s">
        <v>2094</v>
      </c>
      <c r="I681" t="s">
        <v>2109</v>
      </c>
      <c r="J681">
        <v>2216</v>
      </c>
      <c r="K681">
        <v>39.94</v>
      </c>
      <c r="L681">
        <v>2.7</v>
      </c>
      <c r="M681">
        <v>7.24</v>
      </c>
      <c r="N681">
        <v>5</v>
      </c>
      <c r="O681">
        <v>17</v>
      </c>
      <c r="P681">
        <v>615.40000000000009</v>
      </c>
      <c r="Q681">
        <v>7.93</v>
      </c>
      <c r="R681">
        <v>607.47</v>
      </c>
      <c r="AC681" s="1">
        <v>41697</v>
      </c>
    </row>
    <row r="682" spans="1:29" x14ac:dyDescent="0.25">
      <c r="A682" t="s">
        <v>168</v>
      </c>
      <c r="D682" t="s">
        <v>1177</v>
      </c>
      <c r="E682" t="s">
        <v>2021</v>
      </c>
      <c r="F682" t="s">
        <v>2073</v>
      </c>
      <c r="G682" t="s">
        <v>2085</v>
      </c>
      <c r="H682" t="s">
        <v>2092</v>
      </c>
      <c r="I682" t="s">
        <v>2110</v>
      </c>
      <c r="J682">
        <v>2525</v>
      </c>
      <c r="K682">
        <v>49.56</v>
      </c>
      <c r="L682">
        <v>3</v>
      </c>
      <c r="M682">
        <v>18.45</v>
      </c>
      <c r="N682">
        <v>3</v>
      </c>
      <c r="O682">
        <v>4</v>
      </c>
      <c r="P682">
        <v>221.39999999999998</v>
      </c>
      <c r="Q682">
        <v>5.78</v>
      </c>
      <c r="R682">
        <v>215.62</v>
      </c>
      <c r="AC682" s="1">
        <v>42236</v>
      </c>
    </row>
    <row r="683" spans="1:29" x14ac:dyDescent="0.25">
      <c r="A683" t="s">
        <v>180</v>
      </c>
      <c r="D683" t="s">
        <v>1189</v>
      </c>
      <c r="E683" t="s">
        <v>2025</v>
      </c>
      <c r="F683" t="s">
        <v>2081</v>
      </c>
      <c r="G683" t="s">
        <v>2085</v>
      </c>
      <c r="H683" t="s">
        <v>2092</v>
      </c>
      <c r="I683" t="s">
        <v>2099</v>
      </c>
      <c r="J683">
        <v>1842</v>
      </c>
      <c r="K683">
        <v>10.98</v>
      </c>
      <c r="L683">
        <v>2.8</v>
      </c>
      <c r="M683">
        <v>7.34</v>
      </c>
      <c r="N683">
        <v>3</v>
      </c>
      <c r="O683">
        <v>18</v>
      </c>
      <c r="P683">
        <v>396.36</v>
      </c>
      <c r="Q683">
        <v>6.82</v>
      </c>
      <c r="R683">
        <v>389.54</v>
      </c>
      <c r="AC683" s="1">
        <v>41016</v>
      </c>
    </row>
    <row r="684" spans="1:29" x14ac:dyDescent="0.25">
      <c r="A684" t="s">
        <v>236</v>
      </c>
      <c r="D684" t="s">
        <v>1243</v>
      </c>
      <c r="E684" t="s">
        <v>1996</v>
      </c>
      <c r="F684" t="s">
        <v>2074</v>
      </c>
      <c r="G684" t="s">
        <v>2085</v>
      </c>
      <c r="H684" t="s">
        <v>2094</v>
      </c>
      <c r="I684" t="s">
        <v>2111</v>
      </c>
      <c r="J684">
        <v>1138</v>
      </c>
      <c r="K684">
        <v>26.42</v>
      </c>
      <c r="L684">
        <v>3.3</v>
      </c>
      <c r="M684">
        <v>18.12</v>
      </c>
      <c r="N684">
        <v>3</v>
      </c>
      <c r="O684">
        <v>1</v>
      </c>
      <c r="P684">
        <v>54.36</v>
      </c>
      <c r="Q684">
        <v>7.51</v>
      </c>
      <c r="R684">
        <v>46.85</v>
      </c>
      <c r="AC684" s="1">
        <v>42574</v>
      </c>
    </row>
    <row r="685" spans="1:29" x14ac:dyDescent="0.25">
      <c r="A685" t="s">
        <v>601</v>
      </c>
      <c r="D685" t="s">
        <v>1588</v>
      </c>
      <c r="E685" t="s">
        <v>2020</v>
      </c>
      <c r="F685" t="s">
        <v>2079</v>
      </c>
      <c r="G685" t="s">
        <v>2085</v>
      </c>
      <c r="H685" t="s">
        <v>2093</v>
      </c>
      <c r="I685" t="s">
        <v>2107</v>
      </c>
      <c r="J685">
        <v>2733</v>
      </c>
      <c r="K685">
        <v>13.75</v>
      </c>
      <c r="L685">
        <v>4</v>
      </c>
      <c r="M685">
        <v>34.340000000000003</v>
      </c>
      <c r="N685">
        <v>5</v>
      </c>
      <c r="O685">
        <v>20</v>
      </c>
      <c r="P685">
        <v>3434.0000000000005</v>
      </c>
      <c r="Q685">
        <v>7.36</v>
      </c>
      <c r="R685">
        <v>3426.64</v>
      </c>
      <c r="AC685" s="1">
        <v>42595</v>
      </c>
    </row>
    <row r="686" spans="1:29" x14ac:dyDescent="0.25">
      <c r="A686" t="s">
        <v>679</v>
      </c>
      <c r="D686" t="s">
        <v>1661</v>
      </c>
      <c r="E686" t="s">
        <v>2015</v>
      </c>
      <c r="F686" t="s">
        <v>2080</v>
      </c>
      <c r="G686" t="s">
        <v>2085</v>
      </c>
      <c r="H686" t="s">
        <v>2095</v>
      </c>
      <c r="I686" t="s">
        <v>2099</v>
      </c>
      <c r="J686">
        <v>1517</v>
      </c>
      <c r="K686">
        <v>14.56</v>
      </c>
      <c r="L686">
        <v>4.5999999999999996</v>
      </c>
      <c r="M686">
        <v>8.8800000000000008</v>
      </c>
      <c r="N686">
        <v>3</v>
      </c>
      <c r="O686">
        <v>3</v>
      </c>
      <c r="P686">
        <v>79.92</v>
      </c>
      <c r="Q686">
        <v>3.29</v>
      </c>
      <c r="R686">
        <v>76.63</v>
      </c>
      <c r="AC686" s="1">
        <v>40441</v>
      </c>
    </row>
    <row r="687" spans="1:29" x14ac:dyDescent="0.25">
      <c r="A687" t="s">
        <v>701</v>
      </c>
      <c r="D687" t="s">
        <v>1682</v>
      </c>
      <c r="E687" t="s">
        <v>2055</v>
      </c>
      <c r="F687" t="s">
        <v>2077</v>
      </c>
      <c r="G687" t="s">
        <v>2085</v>
      </c>
      <c r="H687" t="s">
        <v>2092</v>
      </c>
      <c r="I687" t="s">
        <v>2102</v>
      </c>
      <c r="J687">
        <v>3183</v>
      </c>
      <c r="K687">
        <v>15.8</v>
      </c>
      <c r="L687">
        <v>1.8</v>
      </c>
      <c r="M687">
        <v>25.74</v>
      </c>
      <c r="N687">
        <v>5</v>
      </c>
      <c r="O687">
        <v>14</v>
      </c>
      <c r="P687">
        <v>1801.7999999999997</v>
      </c>
      <c r="Q687">
        <v>5.42</v>
      </c>
      <c r="R687">
        <v>1796.38</v>
      </c>
      <c r="AC687" s="1">
        <v>42195</v>
      </c>
    </row>
    <row r="688" spans="1:29" x14ac:dyDescent="0.25">
      <c r="A688" t="s">
        <v>815</v>
      </c>
      <c r="D688" t="s">
        <v>1786</v>
      </c>
      <c r="E688" t="s">
        <v>2043</v>
      </c>
      <c r="F688" t="s">
        <v>2073</v>
      </c>
      <c r="G688" t="s">
        <v>2085</v>
      </c>
      <c r="H688" t="s">
        <v>2094</v>
      </c>
      <c r="I688" t="s">
        <v>2108</v>
      </c>
      <c r="J688">
        <v>4590</v>
      </c>
      <c r="K688">
        <v>11.38</v>
      </c>
      <c r="L688">
        <v>2.5</v>
      </c>
      <c r="M688">
        <v>38.17</v>
      </c>
      <c r="N688">
        <v>4</v>
      </c>
      <c r="O688">
        <v>12</v>
      </c>
      <c r="P688">
        <v>1832.16</v>
      </c>
      <c r="Q688">
        <v>1.75</v>
      </c>
      <c r="R688">
        <v>1830.41</v>
      </c>
      <c r="AC688" s="1">
        <v>40447</v>
      </c>
    </row>
    <row r="689" spans="1:29" x14ac:dyDescent="0.25">
      <c r="A689" t="s">
        <v>844</v>
      </c>
      <c r="D689" t="s">
        <v>1813</v>
      </c>
      <c r="E689" t="s">
        <v>2009</v>
      </c>
      <c r="F689" t="s">
        <v>2077</v>
      </c>
      <c r="G689" t="s">
        <v>2085</v>
      </c>
      <c r="H689" t="s">
        <v>2094</v>
      </c>
      <c r="I689" t="s">
        <v>2111</v>
      </c>
      <c r="J689">
        <v>466</v>
      </c>
      <c r="K689">
        <v>36.6</v>
      </c>
      <c r="L689">
        <v>3.6</v>
      </c>
      <c r="M689">
        <v>21.25</v>
      </c>
      <c r="N689">
        <v>1</v>
      </c>
      <c r="O689">
        <v>19</v>
      </c>
      <c r="P689">
        <v>403.75</v>
      </c>
      <c r="Q689">
        <v>7.33</v>
      </c>
      <c r="R689">
        <v>396.42</v>
      </c>
      <c r="AC689" s="1">
        <v>42183</v>
      </c>
    </row>
    <row r="690" spans="1:29" x14ac:dyDescent="0.25">
      <c r="A690" t="s">
        <v>43</v>
      </c>
      <c r="D690" t="s">
        <v>1053</v>
      </c>
      <c r="E690" t="s">
        <v>1996</v>
      </c>
      <c r="F690" t="s">
        <v>2074</v>
      </c>
      <c r="G690" t="s">
        <v>2091</v>
      </c>
      <c r="H690" t="s">
        <v>2096</v>
      </c>
      <c r="I690" t="s">
        <v>2109</v>
      </c>
      <c r="J690">
        <v>4387</v>
      </c>
      <c r="K690">
        <v>33.700000000000003</v>
      </c>
      <c r="L690">
        <v>1.9</v>
      </c>
      <c r="M690">
        <v>5.35</v>
      </c>
      <c r="N690">
        <v>2</v>
      </c>
      <c r="O690">
        <v>14</v>
      </c>
      <c r="P690">
        <v>149.79999999999998</v>
      </c>
      <c r="Q690">
        <v>5.68</v>
      </c>
      <c r="R690">
        <v>144.12</v>
      </c>
      <c r="AC690" s="1">
        <v>43076</v>
      </c>
    </row>
    <row r="691" spans="1:29" x14ac:dyDescent="0.25">
      <c r="A691" t="s">
        <v>44</v>
      </c>
      <c r="D691" t="s">
        <v>1054</v>
      </c>
      <c r="E691" t="s">
        <v>1985</v>
      </c>
      <c r="F691" t="s">
        <v>2077</v>
      </c>
      <c r="G691" t="s">
        <v>2091</v>
      </c>
      <c r="H691" t="s">
        <v>2096</v>
      </c>
      <c r="I691" t="s">
        <v>2103</v>
      </c>
      <c r="J691">
        <v>481</v>
      </c>
      <c r="K691">
        <v>28.12</v>
      </c>
      <c r="L691">
        <v>4.3</v>
      </c>
      <c r="M691">
        <v>33.17</v>
      </c>
      <c r="N691">
        <v>3</v>
      </c>
      <c r="O691">
        <v>2</v>
      </c>
      <c r="P691">
        <v>199.02</v>
      </c>
      <c r="Q691">
        <v>7.4</v>
      </c>
      <c r="R691">
        <v>191.62</v>
      </c>
      <c r="AC691" s="1">
        <v>41633</v>
      </c>
    </row>
    <row r="692" spans="1:29" x14ac:dyDescent="0.25">
      <c r="A692" t="s">
        <v>85</v>
      </c>
      <c r="D692" t="s">
        <v>1095</v>
      </c>
      <c r="E692" t="s">
        <v>2019</v>
      </c>
      <c r="F692" t="s">
        <v>2080</v>
      </c>
      <c r="G692" t="s">
        <v>2091</v>
      </c>
      <c r="H692" t="s">
        <v>2093</v>
      </c>
      <c r="I692" t="s">
        <v>2111</v>
      </c>
      <c r="J692">
        <v>1953</v>
      </c>
      <c r="K692">
        <v>26.29</v>
      </c>
      <c r="L692">
        <v>2.2000000000000002</v>
      </c>
      <c r="M692">
        <v>8.23</v>
      </c>
      <c r="N692">
        <v>3</v>
      </c>
      <c r="O692">
        <v>2</v>
      </c>
      <c r="P692">
        <v>49.38</v>
      </c>
      <c r="Q692">
        <v>8.68</v>
      </c>
      <c r="R692">
        <v>40.700000000000003</v>
      </c>
      <c r="AC692" s="1">
        <v>42340</v>
      </c>
    </row>
    <row r="693" spans="1:29" x14ac:dyDescent="0.25">
      <c r="A693" t="s">
        <v>179</v>
      </c>
      <c r="D693" t="s">
        <v>1188</v>
      </c>
      <c r="E693" t="s">
        <v>2050</v>
      </c>
      <c r="F693" t="s">
        <v>2079</v>
      </c>
      <c r="G693" t="s">
        <v>2091</v>
      </c>
      <c r="H693" t="s">
        <v>2096</v>
      </c>
      <c r="I693" t="s">
        <v>2099</v>
      </c>
      <c r="J693">
        <v>2250</v>
      </c>
      <c r="K693">
        <v>25.33</v>
      </c>
      <c r="L693">
        <v>1.6</v>
      </c>
      <c r="M693">
        <v>33.82</v>
      </c>
      <c r="N693">
        <v>3</v>
      </c>
      <c r="O693">
        <v>9</v>
      </c>
      <c r="P693">
        <v>913.1400000000001</v>
      </c>
      <c r="Q693">
        <v>1.5</v>
      </c>
      <c r="R693">
        <v>911.64</v>
      </c>
      <c r="AC693" s="1">
        <v>41504</v>
      </c>
    </row>
    <row r="694" spans="1:29" x14ac:dyDescent="0.25">
      <c r="A694" t="s">
        <v>257</v>
      </c>
      <c r="D694" t="s">
        <v>1264</v>
      </c>
      <c r="E694" t="s">
        <v>2011</v>
      </c>
      <c r="F694" t="s">
        <v>2076</v>
      </c>
      <c r="G694" t="s">
        <v>2091</v>
      </c>
      <c r="H694" t="s">
        <v>2092</v>
      </c>
      <c r="I694" t="s">
        <v>2099</v>
      </c>
      <c r="J694">
        <v>3507</v>
      </c>
      <c r="K694">
        <v>46.71</v>
      </c>
      <c r="L694">
        <v>3.4</v>
      </c>
      <c r="M694">
        <v>12.57</v>
      </c>
      <c r="N694">
        <v>3</v>
      </c>
      <c r="O694">
        <v>12</v>
      </c>
      <c r="P694">
        <v>452.52</v>
      </c>
      <c r="Q694">
        <v>4.3899999999999997</v>
      </c>
      <c r="R694">
        <v>448.13</v>
      </c>
      <c r="AC694" s="1">
        <v>40603</v>
      </c>
    </row>
    <row r="695" spans="1:29" x14ac:dyDescent="0.25">
      <c r="A695" t="s">
        <v>613</v>
      </c>
      <c r="D695" t="s">
        <v>1599</v>
      </c>
      <c r="E695" t="s">
        <v>2012</v>
      </c>
      <c r="F695" t="s">
        <v>2079</v>
      </c>
      <c r="G695" t="s">
        <v>2091</v>
      </c>
      <c r="H695" t="s">
        <v>2092</v>
      </c>
      <c r="I695" t="s">
        <v>2111</v>
      </c>
      <c r="J695">
        <v>844</v>
      </c>
      <c r="K695">
        <v>17.559999999999999</v>
      </c>
      <c r="L695">
        <v>3.1</v>
      </c>
      <c r="M695">
        <v>24.09</v>
      </c>
      <c r="N695">
        <v>1</v>
      </c>
      <c r="O695">
        <v>4</v>
      </c>
      <c r="P695">
        <v>96.36</v>
      </c>
      <c r="Q695">
        <v>8.59</v>
      </c>
      <c r="R695">
        <v>87.77</v>
      </c>
      <c r="AC695" s="1">
        <v>41225</v>
      </c>
    </row>
    <row r="696" spans="1:29" x14ac:dyDescent="0.25">
      <c r="A696" t="s">
        <v>684</v>
      </c>
      <c r="D696" t="s">
        <v>1666</v>
      </c>
      <c r="E696" t="s">
        <v>1978</v>
      </c>
      <c r="F696" t="s">
        <v>2076</v>
      </c>
      <c r="G696" t="s">
        <v>2091</v>
      </c>
      <c r="H696" t="s">
        <v>2095</v>
      </c>
      <c r="I696" t="s">
        <v>2102</v>
      </c>
      <c r="J696">
        <v>2311</v>
      </c>
      <c r="K696">
        <v>16.29</v>
      </c>
      <c r="L696">
        <v>4.9000000000000004</v>
      </c>
      <c r="M696">
        <v>26.21</v>
      </c>
      <c r="N696">
        <v>2</v>
      </c>
      <c r="O696">
        <v>20</v>
      </c>
      <c r="P696">
        <v>1048.4000000000001</v>
      </c>
      <c r="Q696">
        <v>4.22</v>
      </c>
      <c r="R696">
        <v>1044.18</v>
      </c>
      <c r="AC696" s="1">
        <v>40431</v>
      </c>
    </row>
    <row r="697" spans="1:29" x14ac:dyDescent="0.25">
      <c r="A697" t="s">
        <v>704</v>
      </c>
      <c r="D697" t="s">
        <v>1684</v>
      </c>
      <c r="E697" t="s">
        <v>2044</v>
      </c>
      <c r="F697" t="s">
        <v>2077</v>
      </c>
      <c r="G697" t="s">
        <v>2091</v>
      </c>
      <c r="H697" t="s">
        <v>2096</v>
      </c>
      <c r="I697" t="s">
        <v>2100</v>
      </c>
      <c r="J697">
        <v>293</v>
      </c>
      <c r="K697">
        <v>10.91</v>
      </c>
      <c r="L697">
        <v>2.2000000000000002</v>
      </c>
      <c r="M697">
        <v>35.380000000000003</v>
      </c>
      <c r="N697">
        <v>1</v>
      </c>
      <c r="O697">
        <v>13</v>
      </c>
      <c r="P697">
        <v>459.94000000000005</v>
      </c>
      <c r="Q697">
        <v>5.0199999999999996</v>
      </c>
      <c r="R697">
        <v>454.92</v>
      </c>
      <c r="AC697" s="1">
        <v>42135</v>
      </c>
    </row>
    <row r="698" spans="1:29" x14ac:dyDescent="0.25">
      <c r="A698" t="s">
        <v>769</v>
      </c>
      <c r="D698" t="s">
        <v>1745</v>
      </c>
      <c r="E698" t="s">
        <v>2031</v>
      </c>
      <c r="F698" t="s">
        <v>2077</v>
      </c>
      <c r="G698" t="s">
        <v>2091</v>
      </c>
      <c r="H698" t="s">
        <v>2095</v>
      </c>
      <c r="I698" t="s">
        <v>2110</v>
      </c>
      <c r="J698">
        <v>412</v>
      </c>
      <c r="K698">
        <v>23.9</v>
      </c>
      <c r="L698">
        <v>3.7</v>
      </c>
      <c r="M698">
        <v>33.369999999999997</v>
      </c>
      <c r="N698">
        <v>5</v>
      </c>
      <c r="O698">
        <v>1</v>
      </c>
      <c r="P698">
        <v>166.85</v>
      </c>
      <c r="Q698">
        <v>9.16</v>
      </c>
      <c r="R698">
        <v>157.69</v>
      </c>
      <c r="AC698" s="1">
        <v>40642</v>
      </c>
    </row>
    <row r="699" spans="1:29" x14ac:dyDescent="0.25">
      <c r="A699" t="s">
        <v>789</v>
      </c>
      <c r="D699" t="s">
        <v>1607</v>
      </c>
      <c r="E699" t="s">
        <v>2045</v>
      </c>
      <c r="F699" t="s">
        <v>2074</v>
      </c>
      <c r="G699" t="s">
        <v>2091</v>
      </c>
      <c r="H699" t="s">
        <v>2093</v>
      </c>
      <c r="I699" t="s">
        <v>2109</v>
      </c>
      <c r="J699">
        <v>2654</v>
      </c>
      <c r="K699">
        <v>46</v>
      </c>
      <c r="L699">
        <v>1.7</v>
      </c>
      <c r="M699">
        <v>6.45</v>
      </c>
      <c r="N699">
        <v>1</v>
      </c>
      <c r="O699">
        <v>1</v>
      </c>
      <c r="P699">
        <v>6.45</v>
      </c>
      <c r="Q699">
        <v>0.05</v>
      </c>
      <c r="R699">
        <v>6.4</v>
      </c>
      <c r="AC699" s="1">
        <v>42955</v>
      </c>
    </row>
    <row r="700" spans="1:29" x14ac:dyDescent="0.25">
      <c r="A700" t="s">
        <v>805</v>
      </c>
      <c r="D700" t="s">
        <v>1777</v>
      </c>
      <c r="E700" t="s">
        <v>2054</v>
      </c>
      <c r="F700" t="s">
        <v>2082</v>
      </c>
      <c r="G700" t="s">
        <v>2091</v>
      </c>
      <c r="H700" t="s">
        <v>2096</v>
      </c>
      <c r="I700" t="s">
        <v>2101</v>
      </c>
      <c r="J700">
        <v>899</v>
      </c>
      <c r="K700">
        <v>44.84</v>
      </c>
      <c r="L700">
        <v>1</v>
      </c>
      <c r="M700">
        <v>16.03</v>
      </c>
      <c r="N700">
        <v>1</v>
      </c>
      <c r="O700">
        <v>5</v>
      </c>
      <c r="P700">
        <v>80.150000000000006</v>
      </c>
      <c r="Q700">
        <v>4.7699999999999996</v>
      </c>
      <c r="R700">
        <v>75.38</v>
      </c>
      <c r="AC700" s="1">
        <v>42481</v>
      </c>
    </row>
    <row r="701" spans="1:29" x14ac:dyDescent="0.25">
      <c r="A701" t="s">
        <v>848</v>
      </c>
      <c r="D701" t="s">
        <v>1817</v>
      </c>
      <c r="E701" t="s">
        <v>2001</v>
      </c>
      <c r="F701" t="s">
        <v>2075</v>
      </c>
      <c r="G701" t="s">
        <v>2091</v>
      </c>
      <c r="H701" t="s">
        <v>2095</v>
      </c>
      <c r="I701" t="s">
        <v>2098</v>
      </c>
      <c r="J701">
        <v>3972</v>
      </c>
      <c r="K701">
        <v>20.170000000000002</v>
      </c>
      <c r="L701">
        <v>2.4</v>
      </c>
      <c r="M701">
        <v>23.05</v>
      </c>
      <c r="N701">
        <v>5</v>
      </c>
      <c r="O701">
        <v>17</v>
      </c>
      <c r="P701">
        <v>1959.25</v>
      </c>
      <c r="Q701">
        <v>0.57999999999999996</v>
      </c>
      <c r="R701">
        <v>1958.67</v>
      </c>
      <c r="AC701" s="1">
        <v>41220</v>
      </c>
    </row>
    <row r="702" spans="1:29" x14ac:dyDescent="0.25">
      <c r="A702" t="s">
        <v>27</v>
      </c>
      <c r="D702" t="s">
        <v>1037</v>
      </c>
      <c r="E702" t="s">
        <v>1982</v>
      </c>
      <c r="F702" t="s">
        <v>2074</v>
      </c>
      <c r="G702" t="s">
        <v>2086</v>
      </c>
      <c r="H702" t="s">
        <v>2093</v>
      </c>
      <c r="I702" t="s">
        <v>2099</v>
      </c>
      <c r="J702">
        <v>2833</v>
      </c>
      <c r="K702">
        <v>7.88</v>
      </c>
      <c r="L702">
        <v>4.7</v>
      </c>
      <c r="M702">
        <v>10.66</v>
      </c>
      <c r="N702">
        <v>4</v>
      </c>
      <c r="O702">
        <v>5</v>
      </c>
      <c r="P702">
        <v>213.2</v>
      </c>
      <c r="Q702">
        <v>4.58</v>
      </c>
      <c r="R702">
        <v>208.62</v>
      </c>
      <c r="AC702" s="1">
        <v>42018</v>
      </c>
    </row>
    <row r="703" spans="1:29" x14ac:dyDescent="0.25">
      <c r="A703" t="s">
        <v>64</v>
      </c>
      <c r="D703" t="s">
        <v>1074</v>
      </c>
      <c r="E703" t="s">
        <v>2006</v>
      </c>
      <c r="F703" t="s">
        <v>2082</v>
      </c>
      <c r="G703" t="s">
        <v>2086</v>
      </c>
      <c r="H703" t="s">
        <v>2095</v>
      </c>
      <c r="I703" t="s">
        <v>2110</v>
      </c>
      <c r="J703">
        <v>851</v>
      </c>
      <c r="K703">
        <v>49.36</v>
      </c>
      <c r="L703">
        <v>1.2</v>
      </c>
      <c r="M703">
        <v>38.81</v>
      </c>
      <c r="N703">
        <v>4</v>
      </c>
      <c r="O703">
        <v>9</v>
      </c>
      <c r="P703">
        <v>1397.16</v>
      </c>
      <c r="Q703">
        <v>9.68</v>
      </c>
      <c r="R703">
        <v>1387.48</v>
      </c>
      <c r="AC703" s="1">
        <v>41113</v>
      </c>
    </row>
    <row r="704" spans="1:29" x14ac:dyDescent="0.25">
      <c r="A704" t="s">
        <v>83</v>
      </c>
      <c r="D704" t="s">
        <v>1093</v>
      </c>
      <c r="E704" t="s">
        <v>2018</v>
      </c>
      <c r="F704" t="s">
        <v>2073</v>
      </c>
      <c r="G704" t="s">
        <v>2086</v>
      </c>
      <c r="H704" t="s">
        <v>2093</v>
      </c>
      <c r="I704" t="s">
        <v>2108</v>
      </c>
      <c r="J704">
        <v>3213</v>
      </c>
      <c r="K704">
        <v>10.82</v>
      </c>
      <c r="L704">
        <v>2.5</v>
      </c>
      <c r="M704">
        <v>18.57</v>
      </c>
      <c r="N704">
        <v>5</v>
      </c>
      <c r="O704">
        <v>14</v>
      </c>
      <c r="P704">
        <v>1299.8999999999999</v>
      </c>
      <c r="Q704">
        <v>8.17</v>
      </c>
      <c r="R704">
        <v>1291.73</v>
      </c>
      <c r="AC704" s="1">
        <v>42097</v>
      </c>
    </row>
    <row r="705" spans="1:29" x14ac:dyDescent="0.25">
      <c r="A705" t="s">
        <v>121</v>
      </c>
      <c r="D705" t="s">
        <v>1131</v>
      </c>
      <c r="E705" t="s">
        <v>2005</v>
      </c>
      <c r="F705" t="s">
        <v>2074</v>
      </c>
      <c r="G705" t="s">
        <v>2086</v>
      </c>
      <c r="H705" t="s">
        <v>2095</v>
      </c>
      <c r="I705" t="s">
        <v>2108</v>
      </c>
      <c r="J705">
        <v>4347</v>
      </c>
      <c r="K705">
        <v>21.55</v>
      </c>
      <c r="L705">
        <v>2.2000000000000002</v>
      </c>
      <c r="M705">
        <v>23.47</v>
      </c>
      <c r="N705">
        <v>2</v>
      </c>
      <c r="O705">
        <v>15</v>
      </c>
      <c r="P705">
        <v>704.09999999999991</v>
      </c>
      <c r="Q705">
        <v>1.29</v>
      </c>
      <c r="R705">
        <v>702.81</v>
      </c>
      <c r="AC705" s="1">
        <v>42845</v>
      </c>
    </row>
    <row r="706" spans="1:29" x14ac:dyDescent="0.25">
      <c r="A706" t="s">
        <v>156</v>
      </c>
      <c r="D706" t="s">
        <v>1165</v>
      </c>
      <c r="E706" t="s">
        <v>2044</v>
      </c>
      <c r="F706" t="s">
        <v>2082</v>
      </c>
      <c r="G706" t="s">
        <v>2086</v>
      </c>
      <c r="H706" t="s">
        <v>2092</v>
      </c>
      <c r="I706" t="s">
        <v>2107</v>
      </c>
      <c r="J706">
        <v>2455</v>
      </c>
      <c r="K706">
        <v>33.51</v>
      </c>
      <c r="L706">
        <v>1.7</v>
      </c>
      <c r="M706">
        <v>6.47</v>
      </c>
      <c r="N706">
        <v>1</v>
      </c>
      <c r="O706">
        <v>12</v>
      </c>
      <c r="P706">
        <v>77.64</v>
      </c>
      <c r="Q706">
        <v>9.48</v>
      </c>
      <c r="R706">
        <v>68.16</v>
      </c>
      <c r="AC706" s="1">
        <v>42474</v>
      </c>
    </row>
    <row r="707" spans="1:29" x14ac:dyDescent="0.25">
      <c r="A707" t="s">
        <v>182</v>
      </c>
      <c r="D707" t="s">
        <v>1191</v>
      </c>
      <c r="E707" t="s">
        <v>2002</v>
      </c>
      <c r="F707" t="s">
        <v>2076</v>
      </c>
      <c r="G707" t="s">
        <v>2086</v>
      </c>
      <c r="H707" t="s">
        <v>2096</v>
      </c>
      <c r="I707" t="s">
        <v>2102</v>
      </c>
      <c r="J707">
        <v>764</v>
      </c>
      <c r="K707">
        <v>17.62</v>
      </c>
      <c r="L707">
        <v>4.7</v>
      </c>
      <c r="M707">
        <v>39.5</v>
      </c>
      <c r="N707">
        <v>4</v>
      </c>
      <c r="O707">
        <v>9</v>
      </c>
      <c r="P707">
        <v>1422</v>
      </c>
      <c r="Q707">
        <v>5.98</v>
      </c>
      <c r="R707">
        <v>1416.02</v>
      </c>
      <c r="AC707" s="1">
        <v>40340</v>
      </c>
    </row>
    <row r="708" spans="1:29" x14ac:dyDescent="0.25">
      <c r="A708" t="s">
        <v>217</v>
      </c>
      <c r="D708" t="s">
        <v>1226</v>
      </c>
      <c r="E708" t="s">
        <v>2008</v>
      </c>
      <c r="F708" t="s">
        <v>2079</v>
      </c>
      <c r="G708" t="s">
        <v>2086</v>
      </c>
      <c r="H708" t="s">
        <v>2093</v>
      </c>
      <c r="I708" t="s">
        <v>2105</v>
      </c>
      <c r="J708">
        <v>3202</v>
      </c>
      <c r="K708">
        <v>23.59</v>
      </c>
      <c r="L708">
        <v>4.4000000000000004</v>
      </c>
      <c r="M708">
        <v>39.549999999999997</v>
      </c>
      <c r="N708">
        <v>3</v>
      </c>
      <c r="O708">
        <v>4</v>
      </c>
      <c r="P708">
        <v>474.59999999999997</v>
      </c>
      <c r="Q708">
        <v>3.71</v>
      </c>
      <c r="R708">
        <v>470.89</v>
      </c>
      <c r="AC708" s="1">
        <v>40813</v>
      </c>
    </row>
    <row r="709" spans="1:29" x14ac:dyDescent="0.25">
      <c r="A709" t="s">
        <v>240</v>
      </c>
      <c r="D709" t="s">
        <v>1247</v>
      </c>
      <c r="E709" t="s">
        <v>2061</v>
      </c>
      <c r="F709" t="s">
        <v>2082</v>
      </c>
      <c r="G709" t="s">
        <v>2086</v>
      </c>
      <c r="H709" t="s">
        <v>2093</v>
      </c>
      <c r="I709" t="s">
        <v>2099</v>
      </c>
      <c r="J709">
        <v>4691</v>
      </c>
      <c r="K709">
        <v>41.85</v>
      </c>
      <c r="L709">
        <v>4.2</v>
      </c>
      <c r="M709">
        <v>5.36</v>
      </c>
      <c r="N709">
        <v>3</v>
      </c>
      <c r="O709">
        <v>6</v>
      </c>
      <c r="P709">
        <v>96.480000000000018</v>
      </c>
      <c r="Q709">
        <v>8.56</v>
      </c>
      <c r="R709">
        <v>87.92</v>
      </c>
      <c r="AC709" s="1">
        <v>40494</v>
      </c>
    </row>
    <row r="710" spans="1:29" x14ac:dyDescent="0.25">
      <c r="A710" t="s">
        <v>277</v>
      </c>
      <c r="D710" t="s">
        <v>1282</v>
      </c>
      <c r="E710" t="s">
        <v>1980</v>
      </c>
      <c r="F710" t="s">
        <v>2082</v>
      </c>
      <c r="G710" t="s">
        <v>2086</v>
      </c>
      <c r="H710" t="s">
        <v>2093</v>
      </c>
      <c r="I710" t="s">
        <v>2098</v>
      </c>
      <c r="J710">
        <v>650</v>
      </c>
      <c r="K710">
        <v>49.71</v>
      </c>
      <c r="L710">
        <v>2.2000000000000002</v>
      </c>
      <c r="M710">
        <v>35.159999999999997</v>
      </c>
      <c r="N710">
        <v>2</v>
      </c>
      <c r="O710">
        <v>4</v>
      </c>
      <c r="P710">
        <v>281.27999999999997</v>
      </c>
      <c r="Q710">
        <v>6.81</v>
      </c>
      <c r="R710">
        <v>274.47000000000003</v>
      </c>
      <c r="AC710" s="1">
        <v>40499</v>
      </c>
    </row>
    <row r="711" spans="1:29" x14ac:dyDescent="0.25">
      <c r="A711" t="s">
        <v>466</v>
      </c>
      <c r="D711" t="s">
        <v>1464</v>
      </c>
      <c r="E711" t="s">
        <v>1974</v>
      </c>
      <c r="F711" t="s">
        <v>2082</v>
      </c>
      <c r="G711" t="s">
        <v>2086</v>
      </c>
      <c r="H711" t="s">
        <v>2092</v>
      </c>
      <c r="I711" t="s">
        <v>2106</v>
      </c>
      <c r="J711">
        <v>478</v>
      </c>
      <c r="K711">
        <v>39.89</v>
      </c>
      <c r="L711">
        <v>3.9</v>
      </c>
      <c r="M711">
        <v>25.42</v>
      </c>
      <c r="N711">
        <v>5</v>
      </c>
      <c r="O711">
        <v>7</v>
      </c>
      <c r="P711">
        <v>889.7</v>
      </c>
      <c r="Q711">
        <v>7.23</v>
      </c>
      <c r="R711">
        <v>882.47</v>
      </c>
      <c r="AC711" s="1">
        <v>42377</v>
      </c>
    </row>
    <row r="712" spans="1:29" x14ac:dyDescent="0.25">
      <c r="A712" t="s">
        <v>469</v>
      </c>
      <c r="D712" t="s">
        <v>1467</v>
      </c>
      <c r="E712" t="s">
        <v>2020</v>
      </c>
      <c r="F712" t="s">
        <v>2074</v>
      </c>
      <c r="G712" t="s">
        <v>2086</v>
      </c>
      <c r="H712" t="s">
        <v>2092</v>
      </c>
      <c r="I712" t="s">
        <v>2111</v>
      </c>
      <c r="J712">
        <v>3386</v>
      </c>
      <c r="K712">
        <v>29.04</v>
      </c>
      <c r="L712">
        <v>4.7</v>
      </c>
      <c r="M712">
        <v>9.42</v>
      </c>
      <c r="N712">
        <v>4</v>
      </c>
      <c r="O712">
        <v>7</v>
      </c>
      <c r="P712">
        <v>263.76</v>
      </c>
      <c r="Q712">
        <v>5.61</v>
      </c>
      <c r="R712">
        <v>258.14999999999998</v>
      </c>
      <c r="AC712" s="1">
        <v>40497</v>
      </c>
    </row>
    <row r="713" spans="1:29" x14ac:dyDescent="0.25">
      <c r="A713" t="s">
        <v>586</v>
      </c>
      <c r="D713" t="s">
        <v>1448</v>
      </c>
      <c r="E713" t="s">
        <v>2060</v>
      </c>
      <c r="F713" t="s">
        <v>2081</v>
      </c>
      <c r="G713" t="s">
        <v>2086</v>
      </c>
      <c r="H713" t="s">
        <v>2092</v>
      </c>
      <c r="I713" t="s">
        <v>2099</v>
      </c>
      <c r="J713">
        <v>4312</v>
      </c>
      <c r="K713">
        <v>19.940000000000001</v>
      </c>
      <c r="L713">
        <v>1.9</v>
      </c>
      <c r="M713">
        <v>16.670000000000002</v>
      </c>
      <c r="N713">
        <v>3</v>
      </c>
      <c r="O713">
        <v>20</v>
      </c>
      <c r="P713">
        <v>1000.2</v>
      </c>
      <c r="Q713">
        <v>4.2699999999999996</v>
      </c>
      <c r="R713">
        <v>995.93</v>
      </c>
      <c r="AC713" s="1">
        <v>41992</v>
      </c>
    </row>
    <row r="714" spans="1:29" x14ac:dyDescent="0.25">
      <c r="A714" t="s">
        <v>930</v>
      </c>
      <c r="D714" t="s">
        <v>1895</v>
      </c>
      <c r="E714" t="s">
        <v>2001</v>
      </c>
      <c r="F714" t="s">
        <v>2077</v>
      </c>
      <c r="G714" t="s">
        <v>2086</v>
      </c>
      <c r="H714" t="s">
        <v>2096</v>
      </c>
      <c r="I714" t="s">
        <v>2110</v>
      </c>
      <c r="J714">
        <v>2780</v>
      </c>
      <c r="K714">
        <v>8.51</v>
      </c>
      <c r="L714">
        <v>2.6</v>
      </c>
      <c r="M714">
        <v>15.04</v>
      </c>
      <c r="N714">
        <v>2</v>
      </c>
      <c r="O714">
        <v>10</v>
      </c>
      <c r="P714">
        <v>300.79999999999995</v>
      </c>
      <c r="Q714">
        <v>8.92</v>
      </c>
      <c r="R714">
        <v>291.88</v>
      </c>
      <c r="AC714" s="1">
        <v>40383</v>
      </c>
    </row>
    <row r="715" spans="1:29" x14ac:dyDescent="0.25">
      <c r="A715" t="s">
        <v>117</v>
      </c>
      <c r="D715" t="s">
        <v>1127</v>
      </c>
      <c r="E715" t="s">
        <v>2016</v>
      </c>
      <c r="F715" t="s">
        <v>2073</v>
      </c>
      <c r="G715" t="s">
        <v>2089</v>
      </c>
      <c r="H715" t="s">
        <v>2096</v>
      </c>
      <c r="I715" t="s">
        <v>2100</v>
      </c>
      <c r="J715">
        <v>4473</v>
      </c>
      <c r="K715">
        <v>8.18</v>
      </c>
      <c r="L715">
        <v>2.5</v>
      </c>
      <c r="M715">
        <v>31.01</v>
      </c>
      <c r="N715">
        <v>4</v>
      </c>
      <c r="O715">
        <v>2</v>
      </c>
      <c r="P715">
        <v>248.08</v>
      </c>
      <c r="Q715">
        <v>7.93</v>
      </c>
      <c r="R715">
        <v>240.15</v>
      </c>
      <c r="AC715" s="1">
        <v>43434</v>
      </c>
    </row>
    <row r="716" spans="1:29" x14ac:dyDescent="0.25">
      <c r="A716" t="s">
        <v>158</v>
      </c>
      <c r="D716" t="s">
        <v>1167</v>
      </c>
      <c r="E716" t="s">
        <v>1988</v>
      </c>
      <c r="F716" t="s">
        <v>2079</v>
      </c>
      <c r="G716" t="s">
        <v>2089</v>
      </c>
      <c r="H716" t="s">
        <v>2092</v>
      </c>
      <c r="I716" t="s">
        <v>2104</v>
      </c>
      <c r="J716">
        <v>1388</v>
      </c>
      <c r="K716">
        <v>39.630000000000003</v>
      </c>
      <c r="L716">
        <v>3.4</v>
      </c>
      <c r="M716">
        <v>35.04</v>
      </c>
      <c r="N716">
        <v>5</v>
      </c>
      <c r="O716">
        <v>17</v>
      </c>
      <c r="P716">
        <v>2978.3999999999996</v>
      </c>
      <c r="Q716">
        <v>6.72</v>
      </c>
      <c r="R716">
        <v>2971.68</v>
      </c>
      <c r="AC716" s="1">
        <v>40536</v>
      </c>
    </row>
    <row r="717" spans="1:29" x14ac:dyDescent="0.25">
      <c r="A717" t="s">
        <v>287</v>
      </c>
      <c r="D717" t="s">
        <v>1292</v>
      </c>
      <c r="E717" t="s">
        <v>2068</v>
      </c>
      <c r="F717" t="s">
        <v>2081</v>
      </c>
      <c r="G717" t="s">
        <v>2089</v>
      </c>
      <c r="H717" t="s">
        <v>2093</v>
      </c>
      <c r="I717" t="s">
        <v>2109</v>
      </c>
      <c r="J717">
        <v>1575</v>
      </c>
      <c r="K717">
        <v>27.46</v>
      </c>
      <c r="L717">
        <v>2</v>
      </c>
      <c r="M717">
        <v>15.24</v>
      </c>
      <c r="N717">
        <v>5</v>
      </c>
      <c r="O717">
        <v>17</v>
      </c>
      <c r="P717">
        <v>1295.4000000000001</v>
      </c>
      <c r="Q717">
        <v>4.58</v>
      </c>
      <c r="R717">
        <v>1290.82</v>
      </c>
      <c r="AC717" s="1">
        <v>43382</v>
      </c>
    </row>
    <row r="718" spans="1:29" x14ac:dyDescent="0.25">
      <c r="A718" t="s">
        <v>329</v>
      </c>
      <c r="D718" t="s">
        <v>1332</v>
      </c>
      <c r="E718" t="s">
        <v>2023</v>
      </c>
      <c r="F718" t="s">
        <v>2078</v>
      </c>
      <c r="G718" t="s">
        <v>2089</v>
      </c>
      <c r="H718" t="s">
        <v>2096</v>
      </c>
      <c r="I718" t="s">
        <v>2111</v>
      </c>
      <c r="J718">
        <v>1172</v>
      </c>
      <c r="K718">
        <v>34.58</v>
      </c>
      <c r="L718">
        <v>3.6</v>
      </c>
      <c r="M718">
        <v>16.27</v>
      </c>
      <c r="N718">
        <v>5</v>
      </c>
      <c r="O718">
        <v>13</v>
      </c>
      <c r="P718">
        <v>1057.55</v>
      </c>
      <c r="Q718">
        <v>8.66</v>
      </c>
      <c r="R718">
        <v>1048.8900000000001</v>
      </c>
      <c r="AC718" s="1">
        <v>42345</v>
      </c>
    </row>
    <row r="719" spans="1:29" x14ac:dyDescent="0.25">
      <c r="A719" t="s">
        <v>341</v>
      </c>
      <c r="D719" t="s">
        <v>1344</v>
      </c>
      <c r="E719" t="s">
        <v>2005</v>
      </c>
      <c r="F719" t="s">
        <v>2080</v>
      </c>
      <c r="G719" t="s">
        <v>2089</v>
      </c>
      <c r="H719" t="s">
        <v>2095</v>
      </c>
      <c r="I719" t="s">
        <v>2108</v>
      </c>
      <c r="J719">
        <v>4645</v>
      </c>
      <c r="K719">
        <v>28.64</v>
      </c>
      <c r="L719">
        <v>4.0999999999999996</v>
      </c>
      <c r="M719">
        <v>22.32</v>
      </c>
      <c r="N719">
        <v>1</v>
      </c>
      <c r="O719">
        <v>20</v>
      </c>
      <c r="P719">
        <v>446.4</v>
      </c>
      <c r="Q719">
        <v>6.87</v>
      </c>
      <c r="R719">
        <v>439.53</v>
      </c>
      <c r="AC719" s="1">
        <v>42474</v>
      </c>
    </row>
    <row r="720" spans="1:29" x14ac:dyDescent="0.25">
      <c r="A720" t="s">
        <v>664</v>
      </c>
      <c r="D720" t="s">
        <v>1648</v>
      </c>
      <c r="E720" t="s">
        <v>2047</v>
      </c>
      <c r="F720" t="s">
        <v>2076</v>
      </c>
      <c r="G720" t="s">
        <v>2089</v>
      </c>
      <c r="H720" t="s">
        <v>2095</v>
      </c>
      <c r="I720" t="s">
        <v>2100</v>
      </c>
      <c r="J720">
        <v>1916</v>
      </c>
      <c r="K720">
        <v>49.47</v>
      </c>
      <c r="L720">
        <v>2.4</v>
      </c>
      <c r="M720">
        <v>7.25</v>
      </c>
      <c r="N720">
        <v>3</v>
      </c>
      <c r="O720">
        <v>12</v>
      </c>
      <c r="P720">
        <v>261</v>
      </c>
      <c r="Q720">
        <v>0.28000000000000003</v>
      </c>
      <c r="R720">
        <v>260.72000000000003</v>
      </c>
      <c r="AC720" s="1">
        <v>42760</v>
      </c>
    </row>
    <row r="721" spans="1:29" x14ac:dyDescent="0.25">
      <c r="A721" t="s">
        <v>20</v>
      </c>
      <c r="D721" t="s">
        <v>1030</v>
      </c>
      <c r="E721" t="s">
        <v>1976</v>
      </c>
      <c r="F721" t="s">
        <v>2076</v>
      </c>
      <c r="G721" t="s">
        <v>2084</v>
      </c>
      <c r="H721" t="s">
        <v>2095</v>
      </c>
      <c r="I721" t="s">
        <v>2100</v>
      </c>
      <c r="J721">
        <v>3216</v>
      </c>
      <c r="K721">
        <v>44.75</v>
      </c>
      <c r="L721">
        <v>3.2</v>
      </c>
      <c r="M721">
        <v>36.130000000000003</v>
      </c>
      <c r="N721">
        <v>2</v>
      </c>
      <c r="O721">
        <v>6</v>
      </c>
      <c r="P721">
        <v>433.56000000000006</v>
      </c>
      <c r="Q721">
        <v>7.78</v>
      </c>
      <c r="R721">
        <v>425.78</v>
      </c>
      <c r="AC721" s="1">
        <v>42450</v>
      </c>
    </row>
    <row r="722" spans="1:29" x14ac:dyDescent="0.25">
      <c r="A722" t="s">
        <v>164</v>
      </c>
      <c r="D722" t="s">
        <v>1173</v>
      </c>
      <c r="E722" t="s">
        <v>2048</v>
      </c>
      <c r="F722" t="s">
        <v>2081</v>
      </c>
      <c r="G722" t="s">
        <v>2084</v>
      </c>
      <c r="H722" t="s">
        <v>2096</v>
      </c>
      <c r="I722" t="s">
        <v>2099</v>
      </c>
      <c r="J722">
        <v>2288</v>
      </c>
      <c r="K722">
        <v>16.350000000000001</v>
      </c>
      <c r="L722">
        <v>1.7</v>
      </c>
      <c r="M722">
        <v>22.97</v>
      </c>
      <c r="N722">
        <v>1</v>
      </c>
      <c r="O722">
        <v>16</v>
      </c>
      <c r="P722">
        <v>367.52</v>
      </c>
      <c r="Q722">
        <v>4.45</v>
      </c>
      <c r="R722">
        <v>363.07</v>
      </c>
      <c r="AC722" s="1">
        <v>40341</v>
      </c>
    </row>
    <row r="723" spans="1:29" x14ac:dyDescent="0.25">
      <c r="A723" t="s">
        <v>263</v>
      </c>
      <c r="D723" t="s">
        <v>1270</v>
      </c>
      <c r="E723" t="s">
        <v>2056</v>
      </c>
      <c r="F723" t="s">
        <v>2076</v>
      </c>
      <c r="G723" t="s">
        <v>2084</v>
      </c>
      <c r="H723" t="s">
        <v>2093</v>
      </c>
      <c r="I723" t="s">
        <v>2110</v>
      </c>
      <c r="J723">
        <v>2806</v>
      </c>
      <c r="K723">
        <v>21.02</v>
      </c>
      <c r="L723">
        <v>1.6</v>
      </c>
      <c r="M723">
        <v>8.61</v>
      </c>
      <c r="N723">
        <v>5</v>
      </c>
      <c r="O723">
        <v>1</v>
      </c>
      <c r="P723">
        <v>43.05</v>
      </c>
      <c r="Q723">
        <v>7.34</v>
      </c>
      <c r="R723">
        <v>35.71</v>
      </c>
      <c r="AC723" s="1">
        <v>42514</v>
      </c>
    </row>
    <row r="724" spans="1:29" x14ac:dyDescent="0.25">
      <c r="A724" t="s">
        <v>376</v>
      </c>
      <c r="D724" t="s">
        <v>1377</v>
      </c>
      <c r="E724" t="s">
        <v>1984</v>
      </c>
      <c r="F724" t="s">
        <v>2081</v>
      </c>
      <c r="G724" t="s">
        <v>2084</v>
      </c>
      <c r="H724" t="s">
        <v>2095</v>
      </c>
      <c r="I724" t="s">
        <v>2098</v>
      </c>
      <c r="J724">
        <v>1067</v>
      </c>
      <c r="K724">
        <v>24.64</v>
      </c>
      <c r="L724">
        <v>4.2</v>
      </c>
      <c r="M724">
        <v>36.46</v>
      </c>
      <c r="N724">
        <v>5</v>
      </c>
      <c r="O724">
        <v>2</v>
      </c>
      <c r="P724">
        <v>364.6</v>
      </c>
      <c r="Q724">
        <v>8.6199999999999992</v>
      </c>
      <c r="R724">
        <v>355.98</v>
      </c>
      <c r="AC724" s="1">
        <v>40386</v>
      </c>
    </row>
    <row r="725" spans="1:29" x14ac:dyDescent="0.25">
      <c r="A725" t="s">
        <v>453</v>
      </c>
      <c r="D725" t="s">
        <v>1451</v>
      </c>
      <c r="E725" t="s">
        <v>2036</v>
      </c>
      <c r="F725" t="s">
        <v>2082</v>
      </c>
      <c r="G725" t="s">
        <v>2084</v>
      </c>
      <c r="H725" t="s">
        <v>2094</v>
      </c>
      <c r="I725" t="s">
        <v>2109</v>
      </c>
      <c r="J725">
        <v>1920</v>
      </c>
      <c r="K725">
        <v>21.42</v>
      </c>
      <c r="L725">
        <v>2.2000000000000002</v>
      </c>
      <c r="M725">
        <v>24.83</v>
      </c>
      <c r="N725">
        <v>2</v>
      </c>
      <c r="O725">
        <v>6</v>
      </c>
      <c r="P725">
        <v>297.95999999999998</v>
      </c>
      <c r="Q725">
        <v>1.72</v>
      </c>
      <c r="R725">
        <v>296.24</v>
      </c>
      <c r="AC725" s="1">
        <v>41688</v>
      </c>
    </row>
    <row r="726" spans="1:29" x14ac:dyDescent="0.25">
      <c r="A726" t="s">
        <v>479</v>
      </c>
      <c r="D726" t="s">
        <v>1477</v>
      </c>
      <c r="E726" t="s">
        <v>1986</v>
      </c>
      <c r="F726" t="s">
        <v>2074</v>
      </c>
      <c r="G726" t="s">
        <v>2084</v>
      </c>
      <c r="H726" t="s">
        <v>2096</v>
      </c>
      <c r="I726" t="s">
        <v>2109</v>
      </c>
      <c r="J726">
        <v>4934</v>
      </c>
      <c r="K726">
        <v>44.25</v>
      </c>
      <c r="L726">
        <v>4</v>
      </c>
      <c r="M726">
        <v>8.1</v>
      </c>
      <c r="N726">
        <v>1</v>
      </c>
      <c r="O726">
        <v>11</v>
      </c>
      <c r="P726">
        <v>89.1</v>
      </c>
      <c r="Q726">
        <v>0.46</v>
      </c>
      <c r="R726">
        <v>88.64</v>
      </c>
      <c r="AC726" s="1">
        <v>40335</v>
      </c>
    </row>
    <row r="727" spans="1:29" x14ac:dyDescent="0.25">
      <c r="A727" t="s">
        <v>486</v>
      </c>
      <c r="D727" t="s">
        <v>1484</v>
      </c>
      <c r="E727" t="s">
        <v>2061</v>
      </c>
      <c r="F727" t="s">
        <v>2077</v>
      </c>
      <c r="G727" t="s">
        <v>2084</v>
      </c>
      <c r="H727" t="s">
        <v>2095</v>
      </c>
      <c r="I727" t="s">
        <v>2103</v>
      </c>
      <c r="J727">
        <v>1792</v>
      </c>
      <c r="K727">
        <v>12.91</v>
      </c>
      <c r="L727">
        <v>2.4</v>
      </c>
      <c r="M727">
        <v>22.47</v>
      </c>
      <c r="N727">
        <v>4</v>
      </c>
      <c r="O727">
        <v>9</v>
      </c>
      <c r="P727">
        <v>808.92</v>
      </c>
      <c r="Q727">
        <v>3.97</v>
      </c>
      <c r="R727">
        <v>804.95</v>
      </c>
      <c r="AC727" s="1">
        <v>42074</v>
      </c>
    </row>
    <row r="728" spans="1:29" x14ac:dyDescent="0.25">
      <c r="A728" t="s">
        <v>598</v>
      </c>
      <c r="D728" t="s">
        <v>1585</v>
      </c>
      <c r="E728" t="s">
        <v>2001</v>
      </c>
      <c r="F728" t="s">
        <v>2077</v>
      </c>
      <c r="G728" t="s">
        <v>2084</v>
      </c>
      <c r="H728" t="s">
        <v>2094</v>
      </c>
      <c r="I728" t="s">
        <v>2110</v>
      </c>
      <c r="J728">
        <v>3093</v>
      </c>
      <c r="K728">
        <v>45.89</v>
      </c>
      <c r="L728">
        <v>4.9000000000000004</v>
      </c>
      <c r="M728">
        <v>30.08</v>
      </c>
      <c r="N728">
        <v>3</v>
      </c>
      <c r="O728">
        <v>8</v>
      </c>
      <c r="P728">
        <v>721.92</v>
      </c>
      <c r="Q728">
        <v>9.2899999999999991</v>
      </c>
      <c r="R728">
        <v>712.63</v>
      </c>
      <c r="AC728" s="1">
        <v>43092</v>
      </c>
    </row>
    <row r="729" spans="1:29" x14ac:dyDescent="0.25">
      <c r="A729" t="s">
        <v>687</v>
      </c>
      <c r="D729" t="s">
        <v>1669</v>
      </c>
      <c r="E729" t="s">
        <v>2048</v>
      </c>
      <c r="F729" t="s">
        <v>2082</v>
      </c>
      <c r="G729" t="s">
        <v>2084</v>
      </c>
      <c r="H729" t="s">
        <v>2092</v>
      </c>
      <c r="I729" t="s">
        <v>2110</v>
      </c>
      <c r="J729">
        <v>3930</v>
      </c>
      <c r="K729">
        <v>14.68</v>
      </c>
      <c r="L729">
        <v>1.6</v>
      </c>
      <c r="M729">
        <v>33.770000000000003</v>
      </c>
      <c r="N729">
        <v>5</v>
      </c>
      <c r="O729">
        <v>13</v>
      </c>
      <c r="P729">
        <v>2195.0500000000002</v>
      </c>
      <c r="Q729">
        <v>5.37</v>
      </c>
      <c r="R729">
        <v>2189.6799999999998</v>
      </c>
      <c r="AC729" s="1">
        <v>41902</v>
      </c>
    </row>
    <row r="730" spans="1:29" x14ac:dyDescent="0.25">
      <c r="A730" t="s">
        <v>820</v>
      </c>
      <c r="D730" t="s">
        <v>1791</v>
      </c>
      <c r="E730" t="s">
        <v>2059</v>
      </c>
      <c r="F730" t="s">
        <v>2074</v>
      </c>
      <c r="G730" t="s">
        <v>2084</v>
      </c>
      <c r="H730" t="s">
        <v>2094</v>
      </c>
      <c r="I730" t="s">
        <v>2102</v>
      </c>
      <c r="J730">
        <v>4138</v>
      </c>
      <c r="K730">
        <v>22.43</v>
      </c>
      <c r="L730">
        <v>1.3</v>
      </c>
      <c r="M730">
        <v>13.48</v>
      </c>
      <c r="N730">
        <v>3</v>
      </c>
      <c r="O730">
        <v>5</v>
      </c>
      <c r="P730">
        <v>202.2</v>
      </c>
      <c r="Q730">
        <v>4.2699999999999996</v>
      </c>
      <c r="R730">
        <v>197.93</v>
      </c>
      <c r="AC730" s="1">
        <v>41411</v>
      </c>
    </row>
    <row r="731" spans="1:29" x14ac:dyDescent="0.25">
      <c r="A731" t="s">
        <v>876</v>
      </c>
      <c r="D731" t="s">
        <v>1842</v>
      </c>
      <c r="E731" t="s">
        <v>2051</v>
      </c>
      <c r="F731" t="s">
        <v>2082</v>
      </c>
      <c r="G731" t="s">
        <v>2084</v>
      </c>
      <c r="H731" t="s">
        <v>2093</v>
      </c>
      <c r="I731" t="s">
        <v>2106</v>
      </c>
      <c r="J731">
        <v>1954</v>
      </c>
      <c r="K731">
        <v>14.42</v>
      </c>
      <c r="L731">
        <v>1.6</v>
      </c>
      <c r="M731">
        <v>39.01</v>
      </c>
      <c r="N731">
        <v>2</v>
      </c>
      <c r="O731">
        <v>3</v>
      </c>
      <c r="P731">
        <v>234.06</v>
      </c>
      <c r="Q731">
        <v>5.5</v>
      </c>
      <c r="R731">
        <v>228.56</v>
      </c>
      <c r="AC731" s="1">
        <v>42015</v>
      </c>
    </row>
    <row r="732" spans="1:29" x14ac:dyDescent="0.25">
      <c r="A732" t="s">
        <v>938</v>
      </c>
      <c r="D732" t="s">
        <v>1901</v>
      </c>
      <c r="E732" t="s">
        <v>2058</v>
      </c>
      <c r="F732" t="s">
        <v>2077</v>
      </c>
      <c r="G732" t="s">
        <v>2084</v>
      </c>
      <c r="H732" t="s">
        <v>2092</v>
      </c>
      <c r="I732" t="s">
        <v>2105</v>
      </c>
      <c r="J732">
        <v>484</v>
      </c>
      <c r="K732">
        <v>24.68</v>
      </c>
      <c r="L732">
        <v>2.2999999999999998</v>
      </c>
      <c r="M732">
        <v>14.6</v>
      </c>
      <c r="N732">
        <v>3</v>
      </c>
      <c r="O732">
        <v>11</v>
      </c>
      <c r="P732">
        <v>481.79999999999995</v>
      </c>
      <c r="Q732">
        <v>6.93</v>
      </c>
      <c r="R732">
        <v>474.87</v>
      </c>
      <c r="AC732" s="1">
        <v>41851</v>
      </c>
    </row>
    <row r="733" spans="1:29" x14ac:dyDescent="0.25">
      <c r="A733" t="s">
        <v>122</v>
      </c>
      <c r="D733" t="s">
        <v>1132</v>
      </c>
      <c r="E733" t="s">
        <v>2016</v>
      </c>
      <c r="F733" t="s">
        <v>2078</v>
      </c>
      <c r="G733" t="s">
        <v>2090</v>
      </c>
      <c r="H733" t="s">
        <v>2093</v>
      </c>
      <c r="I733" t="s">
        <v>2111</v>
      </c>
      <c r="J733">
        <v>3860</v>
      </c>
      <c r="K733">
        <v>15.59</v>
      </c>
      <c r="L733">
        <v>3</v>
      </c>
      <c r="M733">
        <v>30.89</v>
      </c>
      <c r="N733">
        <v>5</v>
      </c>
      <c r="O733">
        <v>8</v>
      </c>
      <c r="P733">
        <v>1235.5999999999999</v>
      </c>
      <c r="Q733">
        <v>5</v>
      </c>
      <c r="R733">
        <v>1230.5999999999999</v>
      </c>
      <c r="AC733" s="1">
        <v>40701</v>
      </c>
    </row>
    <row r="734" spans="1:29" x14ac:dyDescent="0.25">
      <c r="A734" t="s">
        <v>169</v>
      </c>
      <c r="D734" t="s">
        <v>1178</v>
      </c>
      <c r="E734" t="s">
        <v>2051</v>
      </c>
      <c r="F734" t="s">
        <v>2074</v>
      </c>
      <c r="G734" t="s">
        <v>2090</v>
      </c>
      <c r="H734" t="s">
        <v>2095</v>
      </c>
      <c r="I734" t="s">
        <v>2103</v>
      </c>
      <c r="J734">
        <v>1461</v>
      </c>
      <c r="K734">
        <v>7.96</v>
      </c>
      <c r="L734">
        <v>4</v>
      </c>
      <c r="M734">
        <v>25.43</v>
      </c>
      <c r="N734">
        <v>4</v>
      </c>
      <c r="O734">
        <v>9</v>
      </c>
      <c r="P734">
        <v>915.48</v>
      </c>
      <c r="Q734">
        <v>8.4</v>
      </c>
      <c r="R734">
        <v>907.08</v>
      </c>
      <c r="AC734" s="1">
        <v>40254</v>
      </c>
    </row>
    <row r="735" spans="1:29" x14ac:dyDescent="0.25">
      <c r="A735" t="s">
        <v>228</v>
      </c>
      <c r="D735" t="s">
        <v>1237</v>
      </c>
      <c r="E735" t="s">
        <v>2050</v>
      </c>
      <c r="F735" t="s">
        <v>2074</v>
      </c>
      <c r="G735" t="s">
        <v>2090</v>
      </c>
      <c r="H735" t="s">
        <v>2094</v>
      </c>
      <c r="I735" t="s">
        <v>2098</v>
      </c>
      <c r="J735">
        <v>3952</v>
      </c>
      <c r="K735">
        <v>17.3</v>
      </c>
      <c r="L735">
        <v>2.2999999999999998</v>
      </c>
      <c r="M735">
        <v>23.86</v>
      </c>
      <c r="N735">
        <v>4</v>
      </c>
      <c r="O735">
        <v>10</v>
      </c>
      <c r="P735">
        <v>954.4</v>
      </c>
      <c r="Q735">
        <v>2.02</v>
      </c>
      <c r="R735">
        <v>952.38</v>
      </c>
      <c r="AC735" s="1">
        <v>42998</v>
      </c>
    </row>
    <row r="736" spans="1:29" x14ac:dyDescent="0.25">
      <c r="A736" t="s">
        <v>320</v>
      </c>
      <c r="D736" t="s">
        <v>1323</v>
      </c>
      <c r="E736" t="s">
        <v>2057</v>
      </c>
      <c r="F736" t="s">
        <v>2077</v>
      </c>
      <c r="G736" t="s">
        <v>2090</v>
      </c>
      <c r="H736" t="s">
        <v>2096</v>
      </c>
      <c r="I736" t="s">
        <v>2106</v>
      </c>
      <c r="J736">
        <v>331</v>
      </c>
      <c r="K736">
        <v>6.1</v>
      </c>
      <c r="L736">
        <v>4.9000000000000004</v>
      </c>
      <c r="M736">
        <v>26.43</v>
      </c>
      <c r="N736">
        <v>1</v>
      </c>
      <c r="O736">
        <v>18</v>
      </c>
      <c r="P736">
        <v>475.74</v>
      </c>
      <c r="Q736">
        <v>8.86</v>
      </c>
      <c r="R736">
        <v>466.88</v>
      </c>
      <c r="AC736" s="1">
        <v>42807</v>
      </c>
    </row>
    <row r="737" spans="1:29" x14ac:dyDescent="0.25">
      <c r="A737" t="s">
        <v>352</v>
      </c>
      <c r="D737" t="s">
        <v>1355</v>
      </c>
      <c r="E737" t="s">
        <v>2051</v>
      </c>
      <c r="F737" t="s">
        <v>2080</v>
      </c>
      <c r="G737" t="s">
        <v>2090</v>
      </c>
      <c r="H737" t="s">
        <v>2096</v>
      </c>
      <c r="I737" t="s">
        <v>2106</v>
      </c>
      <c r="J737">
        <v>2884</v>
      </c>
      <c r="K737">
        <v>22.39</v>
      </c>
      <c r="L737">
        <v>3.6</v>
      </c>
      <c r="M737">
        <v>5.73</v>
      </c>
      <c r="N737">
        <v>1</v>
      </c>
      <c r="O737">
        <v>17</v>
      </c>
      <c r="P737">
        <v>97.410000000000011</v>
      </c>
      <c r="Q737">
        <v>7</v>
      </c>
      <c r="R737">
        <v>90.41</v>
      </c>
      <c r="AC737" s="1">
        <v>42630</v>
      </c>
    </row>
    <row r="738" spans="1:29" x14ac:dyDescent="0.25">
      <c r="A738" t="s">
        <v>457</v>
      </c>
      <c r="D738" t="s">
        <v>1455</v>
      </c>
      <c r="E738" t="s">
        <v>2013</v>
      </c>
      <c r="F738" t="s">
        <v>2080</v>
      </c>
      <c r="G738" t="s">
        <v>2090</v>
      </c>
      <c r="H738" t="s">
        <v>2092</v>
      </c>
      <c r="I738" t="s">
        <v>2110</v>
      </c>
      <c r="J738">
        <v>1055</v>
      </c>
      <c r="K738">
        <v>44.14</v>
      </c>
      <c r="L738">
        <v>3.1</v>
      </c>
      <c r="M738">
        <v>23.35</v>
      </c>
      <c r="N738">
        <v>5</v>
      </c>
      <c r="O738">
        <v>2</v>
      </c>
      <c r="P738">
        <v>233.5</v>
      </c>
      <c r="Q738">
        <v>7.63</v>
      </c>
      <c r="R738">
        <v>225.87</v>
      </c>
      <c r="AC738" s="1">
        <v>40632</v>
      </c>
    </row>
    <row r="739" spans="1:29" x14ac:dyDescent="0.25">
      <c r="A739" t="s">
        <v>485</v>
      </c>
      <c r="D739" t="s">
        <v>1483</v>
      </c>
      <c r="E739" t="s">
        <v>2009</v>
      </c>
      <c r="F739" t="s">
        <v>2075</v>
      </c>
      <c r="G739" t="s">
        <v>2090</v>
      </c>
      <c r="H739" t="s">
        <v>2094</v>
      </c>
      <c r="I739" t="s">
        <v>2098</v>
      </c>
      <c r="J739">
        <v>176</v>
      </c>
      <c r="K739">
        <v>37.36</v>
      </c>
      <c r="L739">
        <v>1.3</v>
      </c>
      <c r="M739">
        <v>24.43</v>
      </c>
      <c r="N739">
        <v>1</v>
      </c>
      <c r="O739">
        <v>14</v>
      </c>
      <c r="P739">
        <v>342.02</v>
      </c>
      <c r="Q739">
        <v>7.15</v>
      </c>
      <c r="R739">
        <v>334.87</v>
      </c>
      <c r="AC739" s="1">
        <v>42532</v>
      </c>
    </row>
    <row r="740" spans="1:29" x14ac:dyDescent="0.25">
      <c r="A740" t="s">
        <v>523</v>
      </c>
      <c r="D740" t="s">
        <v>1518</v>
      </c>
      <c r="E740" t="s">
        <v>2037</v>
      </c>
      <c r="F740" t="s">
        <v>2081</v>
      </c>
      <c r="G740" t="s">
        <v>2090</v>
      </c>
      <c r="H740" t="s">
        <v>2096</v>
      </c>
      <c r="I740" t="s">
        <v>2108</v>
      </c>
      <c r="J740">
        <v>3168</v>
      </c>
      <c r="K740">
        <v>42.44</v>
      </c>
      <c r="L740">
        <v>3.9</v>
      </c>
      <c r="M740">
        <v>16.04</v>
      </c>
      <c r="N740">
        <v>1</v>
      </c>
      <c r="O740">
        <v>1</v>
      </c>
      <c r="P740">
        <v>16.04</v>
      </c>
      <c r="Q740">
        <v>1.72</v>
      </c>
      <c r="R740">
        <v>14.32</v>
      </c>
      <c r="AC740" s="1">
        <v>41558</v>
      </c>
    </row>
    <row r="741" spans="1:29" x14ac:dyDescent="0.25">
      <c r="A741" t="s">
        <v>657</v>
      </c>
      <c r="D741" t="s">
        <v>1641</v>
      </c>
      <c r="E741" t="s">
        <v>2001</v>
      </c>
      <c r="F741" t="s">
        <v>2074</v>
      </c>
      <c r="G741" t="s">
        <v>2090</v>
      </c>
      <c r="H741" t="s">
        <v>2095</v>
      </c>
      <c r="I741" t="s">
        <v>2103</v>
      </c>
      <c r="J741">
        <v>2368</v>
      </c>
      <c r="K741">
        <v>49.59</v>
      </c>
      <c r="L741">
        <v>2.2000000000000002</v>
      </c>
      <c r="M741">
        <v>18.12</v>
      </c>
      <c r="N741">
        <v>4</v>
      </c>
      <c r="O741">
        <v>1</v>
      </c>
      <c r="P741">
        <v>72.48</v>
      </c>
      <c r="Q741">
        <v>8.5299999999999994</v>
      </c>
      <c r="R741">
        <v>63.95</v>
      </c>
      <c r="AC741" s="1">
        <v>42353</v>
      </c>
    </row>
    <row r="742" spans="1:29" x14ac:dyDescent="0.25">
      <c r="A742" t="s">
        <v>713</v>
      </c>
      <c r="D742" t="s">
        <v>1692</v>
      </c>
      <c r="E742" t="s">
        <v>2040</v>
      </c>
      <c r="F742" t="s">
        <v>2080</v>
      </c>
      <c r="G742" t="s">
        <v>2090</v>
      </c>
      <c r="H742" t="s">
        <v>2095</v>
      </c>
      <c r="I742" t="s">
        <v>2108</v>
      </c>
      <c r="J742">
        <v>4665</v>
      </c>
      <c r="K742">
        <v>33.01</v>
      </c>
      <c r="L742">
        <v>2.4</v>
      </c>
      <c r="M742">
        <v>27.09</v>
      </c>
      <c r="N742">
        <v>4</v>
      </c>
      <c r="O742">
        <v>15</v>
      </c>
      <c r="P742">
        <v>1625.4</v>
      </c>
      <c r="Q742">
        <v>9.1</v>
      </c>
      <c r="R742">
        <v>1616.3</v>
      </c>
      <c r="AC742" s="1">
        <v>43033</v>
      </c>
    </row>
    <row r="743" spans="1:29" x14ac:dyDescent="0.25">
      <c r="A743" t="s">
        <v>744</v>
      </c>
      <c r="D743" t="s">
        <v>1722</v>
      </c>
      <c r="E743" t="s">
        <v>2058</v>
      </c>
      <c r="F743" t="s">
        <v>2080</v>
      </c>
      <c r="G743" t="s">
        <v>2090</v>
      </c>
      <c r="H743" t="s">
        <v>2094</v>
      </c>
      <c r="I743" t="s">
        <v>2105</v>
      </c>
      <c r="J743">
        <v>4844</v>
      </c>
      <c r="K743">
        <v>8.9600000000000009</v>
      </c>
      <c r="L743">
        <v>3.2</v>
      </c>
      <c r="M743">
        <v>19.309999999999999</v>
      </c>
      <c r="N743">
        <v>1</v>
      </c>
      <c r="O743">
        <v>2</v>
      </c>
      <c r="P743">
        <v>38.619999999999997</v>
      </c>
      <c r="Q743">
        <v>4.22</v>
      </c>
      <c r="R743">
        <v>34.4</v>
      </c>
      <c r="AC743" s="1">
        <v>42068</v>
      </c>
    </row>
    <row r="744" spans="1:29" x14ac:dyDescent="0.25">
      <c r="A744" t="s">
        <v>787</v>
      </c>
      <c r="D744" t="s">
        <v>1763</v>
      </c>
      <c r="E744" t="s">
        <v>2067</v>
      </c>
      <c r="F744" t="s">
        <v>2079</v>
      </c>
      <c r="G744" t="s">
        <v>2090</v>
      </c>
      <c r="H744" t="s">
        <v>2094</v>
      </c>
      <c r="I744" t="s">
        <v>2097</v>
      </c>
      <c r="J744">
        <v>3200</v>
      </c>
      <c r="K744">
        <v>7.36</v>
      </c>
      <c r="L744">
        <v>3.1</v>
      </c>
      <c r="M744">
        <v>36.64</v>
      </c>
      <c r="N744">
        <v>5</v>
      </c>
      <c r="O744">
        <v>15</v>
      </c>
      <c r="P744">
        <v>2748</v>
      </c>
      <c r="Q744">
        <v>8.36</v>
      </c>
      <c r="R744">
        <v>2739.64</v>
      </c>
      <c r="AC744" s="1">
        <v>41487</v>
      </c>
    </row>
    <row r="745" spans="1:29" x14ac:dyDescent="0.25">
      <c r="A745" t="s">
        <v>833</v>
      </c>
      <c r="D745" t="s">
        <v>1803</v>
      </c>
      <c r="E745" t="s">
        <v>2015</v>
      </c>
      <c r="F745" t="s">
        <v>2078</v>
      </c>
      <c r="G745" t="s">
        <v>2090</v>
      </c>
      <c r="H745" t="s">
        <v>2095</v>
      </c>
      <c r="I745" t="s">
        <v>2107</v>
      </c>
      <c r="J745">
        <v>4278</v>
      </c>
      <c r="K745">
        <v>29.47</v>
      </c>
      <c r="L745">
        <v>1.8</v>
      </c>
      <c r="M745">
        <v>26.25</v>
      </c>
      <c r="N745">
        <v>5</v>
      </c>
      <c r="O745">
        <v>9</v>
      </c>
      <c r="P745">
        <v>1181.25</v>
      </c>
      <c r="Q745">
        <v>6.8</v>
      </c>
      <c r="R745">
        <v>1174.45</v>
      </c>
      <c r="AC745" s="1">
        <v>41753</v>
      </c>
    </row>
    <row r="746" spans="1:29" x14ac:dyDescent="0.25">
      <c r="A746" t="s">
        <v>45</v>
      </c>
      <c r="D746" t="s">
        <v>1055</v>
      </c>
      <c r="E746" t="s">
        <v>1997</v>
      </c>
      <c r="F746" t="s">
        <v>2073</v>
      </c>
      <c r="G746" t="s">
        <v>2083</v>
      </c>
      <c r="H746" t="s">
        <v>2093</v>
      </c>
      <c r="I746" t="s">
        <v>2098</v>
      </c>
      <c r="J746">
        <v>599</v>
      </c>
      <c r="K746">
        <v>41.97</v>
      </c>
      <c r="L746">
        <v>1.4</v>
      </c>
      <c r="M746">
        <v>10.1</v>
      </c>
      <c r="N746">
        <v>4</v>
      </c>
      <c r="O746">
        <v>13</v>
      </c>
      <c r="P746">
        <v>525.19999999999993</v>
      </c>
      <c r="Q746">
        <v>7.71</v>
      </c>
      <c r="R746">
        <v>517.49</v>
      </c>
      <c r="AC746" s="1">
        <v>41377</v>
      </c>
    </row>
    <row r="747" spans="1:29" x14ac:dyDescent="0.25">
      <c r="A747" t="s">
        <v>238</v>
      </c>
      <c r="D747" t="s">
        <v>1245</v>
      </c>
      <c r="E747" t="s">
        <v>2060</v>
      </c>
      <c r="F747" t="s">
        <v>2082</v>
      </c>
      <c r="G747" t="s">
        <v>2083</v>
      </c>
      <c r="H747" t="s">
        <v>2095</v>
      </c>
      <c r="I747" t="s">
        <v>2108</v>
      </c>
      <c r="J747">
        <v>4293</v>
      </c>
      <c r="K747">
        <v>46.42</v>
      </c>
      <c r="L747">
        <v>3.4</v>
      </c>
      <c r="M747">
        <v>17.5</v>
      </c>
      <c r="N747">
        <v>5</v>
      </c>
      <c r="O747">
        <v>11</v>
      </c>
      <c r="P747">
        <v>962.5</v>
      </c>
      <c r="Q747">
        <v>6.77</v>
      </c>
      <c r="R747">
        <v>955.73</v>
      </c>
      <c r="AC747" s="1">
        <v>40611</v>
      </c>
    </row>
    <row r="748" spans="1:29" x14ac:dyDescent="0.25">
      <c r="A748" t="s">
        <v>331</v>
      </c>
      <c r="D748" t="s">
        <v>1334</v>
      </c>
      <c r="E748" t="s">
        <v>1977</v>
      </c>
      <c r="F748" t="s">
        <v>2077</v>
      </c>
      <c r="G748" t="s">
        <v>2083</v>
      </c>
      <c r="H748" t="s">
        <v>2095</v>
      </c>
      <c r="I748" t="s">
        <v>2106</v>
      </c>
      <c r="J748">
        <v>2303</v>
      </c>
      <c r="K748">
        <v>48.99</v>
      </c>
      <c r="L748">
        <v>2.1</v>
      </c>
      <c r="M748">
        <v>6.15</v>
      </c>
      <c r="N748">
        <v>2</v>
      </c>
      <c r="O748">
        <v>8</v>
      </c>
      <c r="P748">
        <v>98.4</v>
      </c>
      <c r="Q748">
        <v>6.85</v>
      </c>
      <c r="R748">
        <v>91.55</v>
      </c>
      <c r="AC748" s="1">
        <v>40450</v>
      </c>
    </row>
    <row r="749" spans="1:29" x14ac:dyDescent="0.25">
      <c r="A749" t="s">
        <v>336</v>
      </c>
      <c r="D749" t="s">
        <v>1339</v>
      </c>
      <c r="E749" t="s">
        <v>1974</v>
      </c>
      <c r="F749" t="s">
        <v>2080</v>
      </c>
      <c r="G749" t="s">
        <v>2083</v>
      </c>
      <c r="H749" t="s">
        <v>2096</v>
      </c>
      <c r="I749" t="s">
        <v>2104</v>
      </c>
      <c r="J749">
        <v>82</v>
      </c>
      <c r="K749">
        <v>46.95</v>
      </c>
      <c r="L749">
        <v>2.5</v>
      </c>
      <c r="M749">
        <v>10.1</v>
      </c>
      <c r="N749">
        <v>4</v>
      </c>
      <c r="O749">
        <v>8</v>
      </c>
      <c r="P749">
        <v>323.2</v>
      </c>
      <c r="Q749">
        <v>4.0999999999999996</v>
      </c>
      <c r="R749">
        <v>319.10000000000002</v>
      </c>
      <c r="AC749" s="1">
        <v>40373</v>
      </c>
    </row>
    <row r="750" spans="1:29" x14ac:dyDescent="0.25">
      <c r="A750" t="s">
        <v>373</v>
      </c>
      <c r="D750" t="s">
        <v>1375</v>
      </c>
      <c r="E750" t="s">
        <v>2024</v>
      </c>
      <c r="F750" t="s">
        <v>2077</v>
      </c>
      <c r="G750" t="s">
        <v>2083</v>
      </c>
      <c r="H750" t="s">
        <v>2095</v>
      </c>
      <c r="I750" t="s">
        <v>2097</v>
      </c>
      <c r="J750">
        <v>1494</v>
      </c>
      <c r="K750">
        <v>19.37</v>
      </c>
      <c r="L750">
        <v>1.9</v>
      </c>
      <c r="M750">
        <v>18.57</v>
      </c>
      <c r="N750">
        <v>3</v>
      </c>
      <c r="O750">
        <v>6</v>
      </c>
      <c r="P750">
        <v>334.26</v>
      </c>
      <c r="Q750">
        <v>4.3</v>
      </c>
      <c r="R750">
        <v>329.96</v>
      </c>
      <c r="AC750" s="1">
        <v>40485</v>
      </c>
    </row>
    <row r="751" spans="1:29" x14ac:dyDescent="0.25">
      <c r="A751" t="s">
        <v>474</v>
      </c>
      <c r="D751" t="s">
        <v>1472</v>
      </c>
      <c r="E751" t="s">
        <v>1996</v>
      </c>
      <c r="F751" t="s">
        <v>2082</v>
      </c>
      <c r="G751" t="s">
        <v>2083</v>
      </c>
      <c r="H751" t="s">
        <v>2093</v>
      </c>
      <c r="I751" t="s">
        <v>2106</v>
      </c>
      <c r="J751">
        <v>1733</v>
      </c>
      <c r="K751">
        <v>45.49</v>
      </c>
      <c r="L751">
        <v>2</v>
      </c>
      <c r="M751">
        <v>37.549999999999997</v>
      </c>
      <c r="N751">
        <v>1</v>
      </c>
      <c r="O751">
        <v>14</v>
      </c>
      <c r="P751">
        <v>525.69999999999993</v>
      </c>
      <c r="Q751">
        <v>5.01</v>
      </c>
      <c r="R751">
        <v>520.69000000000005</v>
      </c>
      <c r="AC751" s="1">
        <v>42172</v>
      </c>
    </row>
    <row r="752" spans="1:29" x14ac:dyDescent="0.25">
      <c r="A752" t="s">
        <v>476</v>
      </c>
      <c r="D752" t="s">
        <v>1474</v>
      </c>
      <c r="E752" t="s">
        <v>2066</v>
      </c>
      <c r="F752" t="s">
        <v>2080</v>
      </c>
      <c r="G752" t="s">
        <v>2083</v>
      </c>
      <c r="H752" t="s">
        <v>2092</v>
      </c>
      <c r="I752" t="s">
        <v>2101</v>
      </c>
      <c r="J752">
        <v>3700</v>
      </c>
      <c r="K752">
        <v>11.62</v>
      </c>
      <c r="L752">
        <v>2</v>
      </c>
      <c r="M752">
        <v>27.12</v>
      </c>
      <c r="N752">
        <v>4</v>
      </c>
      <c r="O752">
        <v>12</v>
      </c>
      <c r="P752">
        <v>1301.76</v>
      </c>
      <c r="Q752">
        <v>7.23</v>
      </c>
      <c r="R752">
        <v>1294.53</v>
      </c>
      <c r="AC752" s="1">
        <v>40265</v>
      </c>
    </row>
    <row r="753" spans="1:29" x14ac:dyDescent="0.25">
      <c r="A753" t="s">
        <v>531</v>
      </c>
      <c r="D753" t="s">
        <v>1526</v>
      </c>
      <c r="E753" t="s">
        <v>2058</v>
      </c>
      <c r="F753" t="s">
        <v>2073</v>
      </c>
      <c r="G753" t="s">
        <v>2083</v>
      </c>
      <c r="H753" t="s">
        <v>2096</v>
      </c>
      <c r="I753" t="s">
        <v>2107</v>
      </c>
      <c r="J753">
        <v>2005</v>
      </c>
      <c r="K753">
        <v>31.76</v>
      </c>
      <c r="L753">
        <v>3.8</v>
      </c>
      <c r="M753">
        <v>26.17</v>
      </c>
      <c r="N753">
        <v>5</v>
      </c>
      <c r="O753">
        <v>17</v>
      </c>
      <c r="P753">
        <v>2224.4500000000003</v>
      </c>
      <c r="Q753">
        <v>7.15</v>
      </c>
      <c r="R753">
        <v>2217.3000000000002</v>
      </c>
      <c r="AC753" s="1">
        <v>43210</v>
      </c>
    </row>
    <row r="754" spans="1:29" x14ac:dyDescent="0.25">
      <c r="A754" t="s">
        <v>567</v>
      </c>
      <c r="D754" t="s">
        <v>1448</v>
      </c>
      <c r="E754" t="s">
        <v>1997</v>
      </c>
      <c r="F754" t="s">
        <v>2076</v>
      </c>
      <c r="G754" t="s">
        <v>2083</v>
      </c>
      <c r="H754" t="s">
        <v>2094</v>
      </c>
      <c r="I754" t="s">
        <v>2100</v>
      </c>
      <c r="J754">
        <v>2281</v>
      </c>
      <c r="K754">
        <v>32.909999999999997</v>
      </c>
      <c r="L754">
        <v>2.1</v>
      </c>
      <c r="M754">
        <v>26.01</v>
      </c>
      <c r="N754">
        <v>5</v>
      </c>
      <c r="O754">
        <v>19</v>
      </c>
      <c r="P754">
        <v>2470.9500000000003</v>
      </c>
      <c r="Q754">
        <v>3.67</v>
      </c>
      <c r="R754">
        <v>2467.2800000000002</v>
      </c>
      <c r="AC754" s="1">
        <v>42989</v>
      </c>
    </row>
    <row r="755" spans="1:29" x14ac:dyDescent="0.25">
      <c r="A755" t="s">
        <v>672</v>
      </c>
      <c r="D755" t="s">
        <v>1654</v>
      </c>
      <c r="E755" t="s">
        <v>1993</v>
      </c>
      <c r="F755" t="s">
        <v>2078</v>
      </c>
      <c r="G755" t="s">
        <v>2083</v>
      </c>
      <c r="H755" t="s">
        <v>2096</v>
      </c>
      <c r="I755" t="s">
        <v>2100</v>
      </c>
      <c r="J755">
        <v>1580</v>
      </c>
      <c r="K755">
        <v>17.89</v>
      </c>
      <c r="L755">
        <v>4.2</v>
      </c>
      <c r="M755">
        <v>6.6</v>
      </c>
      <c r="N755">
        <v>1</v>
      </c>
      <c r="O755">
        <v>20</v>
      </c>
      <c r="P755">
        <v>132</v>
      </c>
      <c r="Q755">
        <v>8.73</v>
      </c>
      <c r="R755">
        <v>123.27</v>
      </c>
      <c r="AC755" s="1">
        <v>43101</v>
      </c>
    </row>
    <row r="756" spans="1:29" x14ac:dyDescent="0.25">
      <c r="A756" t="s">
        <v>734</v>
      </c>
      <c r="D756" t="s">
        <v>1712</v>
      </c>
      <c r="E756" t="s">
        <v>2059</v>
      </c>
      <c r="F756" t="s">
        <v>2077</v>
      </c>
      <c r="G756" t="s">
        <v>2083</v>
      </c>
      <c r="H756" t="s">
        <v>2092</v>
      </c>
      <c r="I756" t="s">
        <v>2101</v>
      </c>
      <c r="J756">
        <v>4804</v>
      </c>
      <c r="K756">
        <v>10.34</v>
      </c>
      <c r="L756">
        <v>3.3</v>
      </c>
      <c r="M756">
        <v>26.69</v>
      </c>
      <c r="N756">
        <v>3</v>
      </c>
      <c r="O756">
        <v>3</v>
      </c>
      <c r="P756">
        <v>240.21000000000004</v>
      </c>
      <c r="Q756">
        <v>6.4</v>
      </c>
      <c r="R756">
        <v>233.81</v>
      </c>
      <c r="AC756" s="1">
        <v>40687</v>
      </c>
    </row>
    <row r="757" spans="1:29" x14ac:dyDescent="0.25">
      <c r="A757" t="s">
        <v>865</v>
      </c>
      <c r="D757" t="s">
        <v>1833</v>
      </c>
      <c r="E757" t="s">
        <v>2008</v>
      </c>
      <c r="F757" t="s">
        <v>2073</v>
      </c>
      <c r="G757" t="s">
        <v>2083</v>
      </c>
      <c r="H757" t="s">
        <v>2096</v>
      </c>
      <c r="I757" t="s">
        <v>2101</v>
      </c>
      <c r="J757">
        <v>4680</v>
      </c>
      <c r="K757">
        <v>9.02</v>
      </c>
      <c r="L757">
        <v>4.2</v>
      </c>
      <c r="M757">
        <v>30.02</v>
      </c>
      <c r="N757">
        <v>3</v>
      </c>
      <c r="O757">
        <v>9</v>
      </c>
      <c r="P757">
        <v>810.54</v>
      </c>
      <c r="Q757">
        <v>3.48</v>
      </c>
      <c r="R757">
        <v>807.06</v>
      </c>
      <c r="AC757" s="1">
        <v>41739</v>
      </c>
    </row>
    <row r="758" spans="1:29" x14ac:dyDescent="0.25">
      <c r="A758" t="s">
        <v>927</v>
      </c>
      <c r="D758" t="s">
        <v>1892</v>
      </c>
      <c r="E758" t="s">
        <v>1976</v>
      </c>
      <c r="F758" t="s">
        <v>2082</v>
      </c>
      <c r="G758" t="s">
        <v>2083</v>
      </c>
      <c r="H758" t="s">
        <v>2093</v>
      </c>
      <c r="I758" t="s">
        <v>2102</v>
      </c>
      <c r="J758">
        <v>1724</v>
      </c>
      <c r="K758">
        <v>27.89</v>
      </c>
      <c r="L758">
        <v>4.5</v>
      </c>
      <c r="M758">
        <v>31.08</v>
      </c>
      <c r="N758">
        <v>1</v>
      </c>
      <c r="O758">
        <v>13</v>
      </c>
      <c r="P758">
        <v>404.03999999999996</v>
      </c>
      <c r="Q758">
        <v>8.9700000000000006</v>
      </c>
      <c r="R758">
        <v>395.07</v>
      </c>
      <c r="AC758" s="1">
        <v>40985</v>
      </c>
    </row>
    <row r="759" spans="1:29" x14ac:dyDescent="0.25">
      <c r="A759" t="s">
        <v>954</v>
      </c>
      <c r="D759" t="s">
        <v>1915</v>
      </c>
      <c r="E759" t="s">
        <v>1999</v>
      </c>
      <c r="F759" t="s">
        <v>2073</v>
      </c>
      <c r="G759" t="s">
        <v>2083</v>
      </c>
      <c r="H759" t="s">
        <v>2095</v>
      </c>
      <c r="I759" t="s">
        <v>2110</v>
      </c>
      <c r="J759">
        <v>2866</v>
      </c>
      <c r="K759">
        <v>6.1</v>
      </c>
      <c r="L759">
        <v>4.9000000000000004</v>
      </c>
      <c r="M759">
        <v>34.53</v>
      </c>
      <c r="N759">
        <v>5</v>
      </c>
      <c r="O759">
        <v>7</v>
      </c>
      <c r="P759">
        <v>1208.55</v>
      </c>
      <c r="Q759">
        <v>1.24</v>
      </c>
      <c r="R759">
        <v>1207.31</v>
      </c>
      <c r="AC759" s="1">
        <v>40743</v>
      </c>
    </row>
    <row r="760" spans="1:29" x14ac:dyDescent="0.25">
      <c r="A760" t="s">
        <v>998</v>
      </c>
      <c r="D760" t="s">
        <v>1956</v>
      </c>
      <c r="E760" t="s">
        <v>2028</v>
      </c>
      <c r="F760" t="s">
        <v>2080</v>
      </c>
      <c r="G760" t="s">
        <v>2083</v>
      </c>
      <c r="H760" t="s">
        <v>2092</v>
      </c>
      <c r="I760" t="s">
        <v>2105</v>
      </c>
      <c r="J760">
        <v>960</v>
      </c>
      <c r="K760">
        <v>35.380000000000003</v>
      </c>
      <c r="L760">
        <v>2.6</v>
      </c>
      <c r="M760">
        <v>7.51</v>
      </c>
      <c r="N760">
        <v>2</v>
      </c>
      <c r="O760">
        <v>18</v>
      </c>
      <c r="P760">
        <v>270.36</v>
      </c>
      <c r="Q760">
        <v>0.28999999999999998</v>
      </c>
      <c r="R760">
        <v>270.07</v>
      </c>
      <c r="AC760" s="1">
        <v>40840</v>
      </c>
    </row>
    <row r="761" spans="1:29" x14ac:dyDescent="0.25">
      <c r="A761" t="s">
        <v>1012</v>
      </c>
      <c r="D761" t="s">
        <v>1969</v>
      </c>
      <c r="E761" t="s">
        <v>2014</v>
      </c>
      <c r="F761" t="s">
        <v>2082</v>
      </c>
      <c r="G761" t="s">
        <v>2083</v>
      </c>
      <c r="H761" t="s">
        <v>2093</v>
      </c>
      <c r="I761" t="s">
        <v>2103</v>
      </c>
      <c r="J761">
        <v>1528</v>
      </c>
      <c r="K761">
        <v>42.05</v>
      </c>
      <c r="L761">
        <v>1.6</v>
      </c>
      <c r="M761">
        <v>9.57</v>
      </c>
      <c r="N761">
        <v>3</v>
      </c>
      <c r="O761">
        <v>4</v>
      </c>
      <c r="P761">
        <v>114.84</v>
      </c>
      <c r="Q761">
        <v>4.91</v>
      </c>
      <c r="R761">
        <v>109.93</v>
      </c>
      <c r="AC761" s="1">
        <v>41237</v>
      </c>
    </row>
    <row r="762" spans="1:29" x14ac:dyDescent="0.25">
      <c r="A762" t="s">
        <v>398</v>
      </c>
      <c r="D762" t="s">
        <v>1398</v>
      </c>
      <c r="E762" t="s">
        <v>2025</v>
      </c>
      <c r="F762" t="s">
        <v>2080</v>
      </c>
      <c r="G762" t="s">
        <v>2087</v>
      </c>
      <c r="H762" t="s">
        <v>2096</v>
      </c>
      <c r="I762" t="s">
        <v>2098</v>
      </c>
      <c r="J762">
        <v>3317</v>
      </c>
      <c r="K762">
        <v>36.21</v>
      </c>
      <c r="L762">
        <v>2.1</v>
      </c>
      <c r="M762">
        <v>30.15</v>
      </c>
      <c r="N762">
        <v>5</v>
      </c>
      <c r="O762">
        <v>15</v>
      </c>
      <c r="P762">
        <v>2261.25</v>
      </c>
      <c r="Q762">
        <v>1.47</v>
      </c>
      <c r="R762">
        <v>2259.7800000000002</v>
      </c>
      <c r="AC762" s="1">
        <v>42727</v>
      </c>
    </row>
    <row r="763" spans="1:29" x14ac:dyDescent="0.25">
      <c r="A763" t="s">
        <v>456</v>
      </c>
      <c r="D763" t="s">
        <v>1454</v>
      </c>
      <c r="E763" t="s">
        <v>2046</v>
      </c>
      <c r="F763" t="s">
        <v>2081</v>
      </c>
      <c r="G763" t="s">
        <v>2087</v>
      </c>
      <c r="H763" t="s">
        <v>2092</v>
      </c>
      <c r="I763" t="s">
        <v>2108</v>
      </c>
      <c r="J763">
        <v>4353</v>
      </c>
      <c r="K763">
        <v>15.51</v>
      </c>
      <c r="L763">
        <v>2.6</v>
      </c>
      <c r="M763">
        <v>12.26</v>
      </c>
      <c r="N763">
        <v>1</v>
      </c>
      <c r="O763">
        <v>8</v>
      </c>
      <c r="P763">
        <v>98.08</v>
      </c>
      <c r="Q763">
        <v>7.07</v>
      </c>
      <c r="R763">
        <v>91.01</v>
      </c>
      <c r="AC763" s="1">
        <v>42387</v>
      </c>
    </row>
    <row r="764" spans="1:29" x14ac:dyDescent="0.25">
      <c r="A764" t="s">
        <v>584</v>
      </c>
      <c r="D764" t="s">
        <v>1573</v>
      </c>
      <c r="E764" t="s">
        <v>1985</v>
      </c>
      <c r="F764" t="s">
        <v>2081</v>
      </c>
      <c r="G764" t="s">
        <v>2087</v>
      </c>
      <c r="H764" t="s">
        <v>2095</v>
      </c>
      <c r="I764" t="s">
        <v>2111</v>
      </c>
      <c r="J764">
        <v>667</v>
      </c>
      <c r="K764">
        <v>43.74</v>
      </c>
      <c r="L764">
        <v>2.2000000000000002</v>
      </c>
      <c r="M764">
        <v>14.14</v>
      </c>
      <c r="N764">
        <v>5</v>
      </c>
      <c r="O764">
        <v>10</v>
      </c>
      <c r="P764">
        <v>707</v>
      </c>
      <c r="Q764">
        <v>5.4</v>
      </c>
      <c r="R764">
        <v>701.6</v>
      </c>
      <c r="AC764" s="1">
        <v>42515</v>
      </c>
    </row>
    <row r="765" spans="1:29" x14ac:dyDescent="0.25">
      <c r="A765" t="s">
        <v>605</v>
      </c>
      <c r="D765" t="s">
        <v>1592</v>
      </c>
      <c r="E765" t="s">
        <v>1996</v>
      </c>
      <c r="F765" t="s">
        <v>2075</v>
      </c>
      <c r="G765" t="s">
        <v>2087</v>
      </c>
      <c r="H765" t="s">
        <v>2092</v>
      </c>
      <c r="I765" t="s">
        <v>2097</v>
      </c>
      <c r="J765">
        <v>4136</v>
      </c>
      <c r="K765">
        <v>25.49</v>
      </c>
      <c r="L765">
        <v>4.0999999999999996</v>
      </c>
      <c r="M765">
        <v>5.57</v>
      </c>
      <c r="N765">
        <v>4</v>
      </c>
      <c r="O765">
        <v>13</v>
      </c>
      <c r="P765">
        <v>289.64</v>
      </c>
      <c r="Q765">
        <v>3.86</v>
      </c>
      <c r="R765">
        <v>285.77999999999997</v>
      </c>
      <c r="AC765" s="1">
        <v>40604</v>
      </c>
    </row>
    <row r="766" spans="1:29" x14ac:dyDescent="0.25">
      <c r="A766" t="s">
        <v>689</v>
      </c>
      <c r="D766" t="s">
        <v>1671</v>
      </c>
      <c r="E766" t="s">
        <v>1994</v>
      </c>
      <c r="F766" t="s">
        <v>2081</v>
      </c>
      <c r="G766" t="s">
        <v>2087</v>
      </c>
      <c r="H766" t="s">
        <v>2095</v>
      </c>
      <c r="I766" t="s">
        <v>2106</v>
      </c>
      <c r="J766">
        <v>4385</v>
      </c>
      <c r="K766">
        <v>45.44</v>
      </c>
      <c r="L766">
        <v>3.6</v>
      </c>
      <c r="M766">
        <v>18.829999999999998</v>
      </c>
      <c r="N766">
        <v>2</v>
      </c>
      <c r="O766">
        <v>11</v>
      </c>
      <c r="P766">
        <v>414.26</v>
      </c>
      <c r="Q766">
        <v>6.07</v>
      </c>
      <c r="R766">
        <v>408.19</v>
      </c>
      <c r="AC766" s="1">
        <v>40262</v>
      </c>
    </row>
    <row r="767" spans="1:29" x14ac:dyDescent="0.25">
      <c r="A767" t="s">
        <v>786</v>
      </c>
      <c r="D767" t="s">
        <v>1762</v>
      </c>
      <c r="E767" t="s">
        <v>2039</v>
      </c>
      <c r="F767" t="s">
        <v>2080</v>
      </c>
      <c r="G767" t="s">
        <v>2087</v>
      </c>
      <c r="H767" t="s">
        <v>2095</v>
      </c>
      <c r="I767" t="s">
        <v>2111</v>
      </c>
      <c r="J767">
        <v>1635</v>
      </c>
      <c r="K767">
        <v>32.75</v>
      </c>
      <c r="L767">
        <v>2.4</v>
      </c>
      <c r="M767">
        <v>38.770000000000003</v>
      </c>
      <c r="N767">
        <v>2</v>
      </c>
      <c r="O767">
        <v>2</v>
      </c>
      <c r="P767">
        <v>155.08000000000001</v>
      </c>
      <c r="Q767">
        <v>5.58</v>
      </c>
      <c r="R767">
        <v>149.5</v>
      </c>
      <c r="AC767" s="1">
        <v>41422</v>
      </c>
    </row>
    <row r="768" spans="1:29" x14ac:dyDescent="0.25">
      <c r="A768" t="s">
        <v>969</v>
      </c>
      <c r="D768" t="s">
        <v>1874</v>
      </c>
      <c r="E768" t="s">
        <v>2007</v>
      </c>
      <c r="F768" t="s">
        <v>2080</v>
      </c>
      <c r="G768" t="s">
        <v>2087</v>
      </c>
      <c r="H768" t="s">
        <v>2094</v>
      </c>
      <c r="I768" t="s">
        <v>2103</v>
      </c>
      <c r="J768">
        <v>2276</v>
      </c>
      <c r="K768">
        <v>31.15</v>
      </c>
      <c r="L768">
        <v>3.9</v>
      </c>
      <c r="M768">
        <v>9.51</v>
      </c>
      <c r="N768">
        <v>1</v>
      </c>
      <c r="O768">
        <v>12</v>
      </c>
      <c r="P768">
        <v>114.12</v>
      </c>
      <c r="Q768">
        <v>1.9</v>
      </c>
      <c r="R768">
        <v>112.22</v>
      </c>
      <c r="AC768" s="1">
        <v>41206</v>
      </c>
    </row>
    <row r="769" spans="1:29" x14ac:dyDescent="0.25">
      <c r="A769" t="s">
        <v>1011</v>
      </c>
      <c r="D769" t="s">
        <v>1968</v>
      </c>
      <c r="E769" t="s">
        <v>1982</v>
      </c>
      <c r="F769" t="s">
        <v>2075</v>
      </c>
      <c r="G769" t="s">
        <v>2087</v>
      </c>
      <c r="H769" t="s">
        <v>2096</v>
      </c>
      <c r="I769" t="s">
        <v>2110</v>
      </c>
      <c r="J769">
        <v>4831</v>
      </c>
      <c r="K769">
        <v>40.4</v>
      </c>
      <c r="L769">
        <v>3.8</v>
      </c>
      <c r="M769">
        <v>15.45</v>
      </c>
      <c r="N769">
        <v>2</v>
      </c>
      <c r="O769">
        <v>7</v>
      </c>
      <c r="P769">
        <v>216.29999999999998</v>
      </c>
      <c r="Q769">
        <v>1.71</v>
      </c>
      <c r="R769">
        <v>214.59</v>
      </c>
      <c r="AC769" s="1">
        <v>40886</v>
      </c>
    </row>
    <row r="770" spans="1:29" x14ac:dyDescent="0.25">
      <c r="A770" t="s">
        <v>343</v>
      </c>
      <c r="D770" t="s">
        <v>1346</v>
      </c>
      <c r="E770" t="s">
        <v>2068</v>
      </c>
      <c r="F770" t="s">
        <v>2081</v>
      </c>
      <c r="G770" t="s">
        <v>2088</v>
      </c>
      <c r="H770" t="s">
        <v>2095</v>
      </c>
      <c r="I770" t="s">
        <v>2106</v>
      </c>
      <c r="J770">
        <v>3763</v>
      </c>
      <c r="K770">
        <v>32.340000000000003</v>
      </c>
      <c r="L770">
        <v>2.2999999999999998</v>
      </c>
      <c r="M770">
        <v>34.479999999999997</v>
      </c>
      <c r="N770">
        <v>5</v>
      </c>
      <c r="O770">
        <v>10</v>
      </c>
      <c r="P770">
        <v>1723.9999999999998</v>
      </c>
      <c r="Q770">
        <v>4.2699999999999996</v>
      </c>
      <c r="R770">
        <v>1719.73</v>
      </c>
      <c r="AC770" s="1">
        <v>40737</v>
      </c>
    </row>
    <row r="771" spans="1:29" x14ac:dyDescent="0.25">
      <c r="A771" t="s">
        <v>463</v>
      </c>
      <c r="D771" t="s">
        <v>1461</v>
      </c>
      <c r="E771" t="s">
        <v>2015</v>
      </c>
      <c r="F771" t="s">
        <v>2077</v>
      </c>
      <c r="G771" t="s">
        <v>2088</v>
      </c>
      <c r="H771" t="s">
        <v>2095</v>
      </c>
      <c r="I771" t="s">
        <v>2102</v>
      </c>
      <c r="J771">
        <v>3239</v>
      </c>
      <c r="K771">
        <v>15.67</v>
      </c>
      <c r="L771">
        <v>3.4</v>
      </c>
      <c r="M771">
        <v>39.92</v>
      </c>
      <c r="N771">
        <v>2</v>
      </c>
      <c r="O771">
        <v>11</v>
      </c>
      <c r="P771">
        <v>878.24</v>
      </c>
      <c r="Q771">
        <v>0.11</v>
      </c>
      <c r="R771">
        <v>878.13</v>
      </c>
      <c r="AC771" s="1">
        <v>40541</v>
      </c>
    </row>
    <row r="772" spans="1:29" x14ac:dyDescent="0.25">
      <c r="A772" t="s">
        <v>487</v>
      </c>
      <c r="D772" t="s">
        <v>1485</v>
      </c>
      <c r="E772" t="s">
        <v>1999</v>
      </c>
      <c r="F772" t="s">
        <v>2082</v>
      </c>
      <c r="G772" t="s">
        <v>2088</v>
      </c>
      <c r="H772" t="s">
        <v>2095</v>
      </c>
      <c r="I772" t="s">
        <v>2099</v>
      </c>
      <c r="J772">
        <v>4601</v>
      </c>
      <c r="K772">
        <v>19.510000000000002</v>
      </c>
      <c r="L772">
        <v>4.2</v>
      </c>
      <c r="M772">
        <v>21.18</v>
      </c>
      <c r="N772">
        <v>2</v>
      </c>
      <c r="O772">
        <v>10</v>
      </c>
      <c r="P772">
        <v>423.6</v>
      </c>
      <c r="Q772">
        <v>0.75</v>
      </c>
      <c r="R772">
        <v>422.85</v>
      </c>
      <c r="AC772" s="1">
        <v>40858</v>
      </c>
    </row>
    <row r="773" spans="1:29" x14ac:dyDescent="0.25">
      <c r="A773" t="s">
        <v>542</v>
      </c>
      <c r="D773" t="s">
        <v>1536</v>
      </c>
      <c r="E773" t="s">
        <v>2058</v>
      </c>
      <c r="F773" t="s">
        <v>2081</v>
      </c>
      <c r="G773" t="s">
        <v>2088</v>
      </c>
      <c r="H773" t="s">
        <v>2092</v>
      </c>
      <c r="I773" t="s">
        <v>2110</v>
      </c>
      <c r="J773">
        <v>433</v>
      </c>
      <c r="K773">
        <v>48.09</v>
      </c>
      <c r="L773">
        <v>2.2999999999999998</v>
      </c>
      <c r="M773">
        <v>32.32</v>
      </c>
      <c r="N773">
        <v>5</v>
      </c>
      <c r="O773">
        <v>5</v>
      </c>
      <c r="P773">
        <v>808</v>
      </c>
      <c r="Q773">
        <v>9.85</v>
      </c>
      <c r="R773">
        <v>798.15</v>
      </c>
      <c r="AC773" s="1">
        <v>43416</v>
      </c>
    </row>
    <row r="774" spans="1:29" x14ac:dyDescent="0.25">
      <c r="A774" t="s">
        <v>853</v>
      </c>
      <c r="D774" t="s">
        <v>1821</v>
      </c>
      <c r="E774" t="s">
        <v>2059</v>
      </c>
      <c r="F774" t="s">
        <v>2073</v>
      </c>
      <c r="G774" t="s">
        <v>2088</v>
      </c>
      <c r="H774" t="s">
        <v>2092</v>
      </c>
      <c r="I774" t="s">
        <v>2110</v>
      </c>
      <c r="J774">
        <v>2971</v>
      </c>
      <c r="K774">
        <v>36.270000000000003</v>
      </c>
      <c r="L774">
        <v>4.5999999999999996</v>
      </c>
      <c r="M774">
        <v>20.98</v>
      </c>
      <c r="N774">
        <v>1</v>
      </c>
      <c r="O774">
        <v>14</v>
      </c>
      <c r="P774">
        <v>293.72000000000003</v>
      </c>
      <c r="Q774">
        <v>4.42</v>
      </c>
      <c r="R774">
        <v>289.3</v>
      </c>
      <c r="AC774" s="1">
        <v>41027</v>
      </c>
    </row>
    <row r="775" spans="1:29" x14ac:dyDescent="0.25">
      <c r="A775" t="s">
        <v>952</v>
      </c>
      <c r="D775" t="s">
        <v>1914</v>
      </c>
      <c r="E775" t="s">
        <v>2055</v>
      </c>
      <c r="F775" t="s">
        <v>2078</v>
      </c>
      <c r="G775" t="s">
        <v>2088</v>
      </c>
      <c r="H775" t="s">
        <v>2094</v>
      </c>
      <c r="I775" t="s">
        <v>2100</v>
      </c>
      <c r="J775">
        <v>4551</v>
      </c>
      <c r="K775">
        <v>40.98</v>
      </c>
      <c r="L775">
        <v>4.4000000000000004</v>
      </c>
      <c r="M775">
        <v>17.149999999999999</v>
      </c>
      <c r="N775">
        <v>2</v>
      </c>
      <c r="O775">
        <v>14</v>
      </c>
      <c r="P775">
        <v>480.19999999999993</v>
      </c>
      <c r="Q775">
        <v>2</v>
      </c>
      <c r="R775">
        <v>478.2</v>
      </c>
      <c r="AC775" s="1">
        <v>42806</v>
      </c>
    </row>
    <row r="776" spans="1:29" x14ac:dyDescent="0.25">
      <c r="A776" t="s">
        <v>77</v>
      </c>
      <c r="D776" t="s">
        <v>1087</v>
      </c>
      <c r="E776" t="s">
        <v>2014</v>
      </c>
      <c r="F776" t="s">
        <v>2079</v>
      </c>
      <c r="G776" t="s">
        <v>2085</v>
      </c>
      <c r="H776" t="s">
        <v>2093</v>
      </c>
      <c r="I776" t="s">
        <v>2110</v>
      </c>
      <c r="J776">
        <v>1697</v>
      </c>
      <c r="K776">
        <v>28.48</v>
      </c>
      <c r="L776">
        <v>4.3</v>
      </c>
      <c r="M776">
        <v>23.36</v>
      </c>
      <c r="N776">
        <v>1</v>
      </c>
      <c r="O776">
        <v>18</v>
      </c>
      <c r="P776">
        <v>420.48</v>
      </c>
      <c r="Q776">
        <v>2.68</v>
      </c>
      <c r="R776">
        <v>417.8</v>
      </c>
      <c r="AC776" s="1">
        <v>41535</v>
      </c>
    </row>
    <row r="777" spans="1:29" x14ac:dyDescent="0.25">
      <c r="A777" t="s">
        <v>135</v>
      </c>
      <c r="D777" t="s">
        <v>1144</v>
      </c>
      <c r="E777" t="s">
        <v>2007</v>
      </c>
      <c r="F777" t="s">
        <v>2077</v>
      </c>
      <c r="G777" t="s">
        <v>2085</v>
      </c>
      <c r="H777" t="s">
        <v>2095</v>
      </c>
      <c r="I777" t="s">
        <v>2102</v>
      </c>
      <c r="J777">
        <v>3097</v>
      </c>
      <c r="K777">
        <v>26.44</v>
      </c>
      <c r="L777">
        <v>2.4</v>
      </c>
      <c r="M777">
        <v>32.5</v>
      </c>
      <c r="N777">
        <v>5</v>
      </c>
      <c r="O777">
        <v>16</v>
      </c>
      <c r="P777">
        <v>2600</v>
      </c>
      <c r="Q777">
        <v>8.1300000000000008</v>
      </c>
      <c r="R777">
        <v>2591.87</v>
      </c>
      <c r="AC777" s="1">
        <v>40665</v>
      </c>
    </row>
    <row r="778" spans="1:29" x14ac:dyDescent="0.25">
      <c r="A778" t="s">
        <v>215</v>
      </c>
      <c r="D778" t="s">
        <v>1224</v>
      </c>
      <c r="E778" t="s">
        <v>2034</v>
      </c>
      <c r="F778" t="s">
        <v>2081</v>
      </c>
      <c r="G778" t="s">
        <v>2085</v>
      </c>
      <c r="H778" t="s">
        <v>2094</v>
      </c>
      <c r="I778" t="s">
        <v>2100</v>
      </c>
      <c r="J778">
        <v>3520</v>
      </c>
      <c r="K778">
        <v>30.4</v>
      </c>
      <c r="L778">
        <v>3.2</v>
      </c>
      <c r="M778">
        <v>29.37</v>
      </c>
      <c r="N778">
        <v>5</v>
      </c>
      <c r="O778">
        <v>11</v>
      </c>
      <c r="P778">
        <v>1615.35</v>
      </c>
      <c r="Q778">
        <v>6.62</v>
      </c>
      <c r="R778">
        <v>1608.73</v>
      </c>
      <c r="AC778" s="1">
        <v>42202</v>
      </c>
    </row>
    <row r="779" spans="1:29" x14ac:dyDescent="0.25">
      <c r="A779" t="s">
        <v>248</v>
      </c>
      <c r="D779" t="s">
        <v>1255</v>
      </c>
      <c r="E779" t="s">
        <v>2024</v>
      </c>
      <c r="F779" t="s">
        <v>2073</v>
      </c>
      <c r="G779" t="s">
        <v>2085</v>
      </c>
      <c r="H779" t="s">
        <v>2094</v>
      </c>
      <c r="I779" t="s">
        <v>2105</v>
      </c>
      <c r="J779">
        <v>4206</v>
      </c>
      <c r="K779">
        <v>29.08</v>
      </c>
      <c r="L779">
        <v>3.5</v>
      </c>
      <c r="M779">
        <v>38.299999999999997</v>
      </c>
      <c r="N779">
        <v>4</v>
      </c>
      <c r="O779">
        <v>5</v>
      </c>
      <c r="P779">
        <v>766</v>
      </c>
      <c r="Q779">
        <v>7.19</v>
      </c>
      <c r="R779">
        <v>758.81</v>
      </c>
      <c r="AC779" s="1">
        <v>41516</v>
      </c>
    </row>
    <row r="780" spans="1:29" x14ac:dyDescent="0.25">
      <c r="A780" t="s">
        <v>290</v>
      </c>
      <c r="D780" t="s">
        <v>1295</v>
      </c>
      <c r="E780" t="s">
        <v>2055</v>
      </c>
      <c r="F780" t="s">
        <v>2082</v>
      </c>
      <c r="G780" t="s">
        <v>2085</v>
      </c>
      <c r="H780" t="s">
        <v>2093</v>
      </c>
      <c r="I780" t="s">
        <v>2098</v>
      </c>
      <c r="J780">
        <v>4328</v>
      </c>
      <c r="K780">
        <v>29.26</v>
      </c>
      <c r="L780">
        <v>3.4</v>
      </c>
      <c r="M780">
        <v>39.869999999999997</v>
      </c>
      <c r="N780">
        <v>1</v>
      </c>
      <c r="O780">
        <v>19</v>
      </c>
      <c r="P780">
        <v>757.53</v>
      </c>
      <c r="Q780">
        <v>2.08</v>
      </c>
      <c r="R780">
        <v>755.45</v>
      </c>
      <c r="AC780" s="1">
        <v>42142</v>
      </c>
    </row>
    <row r="781" spans="1:29" x14ac:dyDescent="0.25">
      <c r="A781" t="s">
        <v>357</v>
      </c>
      <c r="D781" t="s">
        <v>1359</v>
      </c>
      <c r="E781" t="s">
        <v>2013</v>
      </c>
      <c r="F781" t="s">
        <v>2076</v>
      </c>
      <c r="G781" t="s">
        <v>2085</v>
      </c>
      <c r="H781" t="s">
        <v>2092</v>
      </c>
      <c r="I781" t="s">
        <v>2097</v>
      </c>
      <c r="J781">
        <v>3607</v>
      </c>
      <c r="K781">
        <v>32.85</v>
      </c>
      <c r="L781">
        <v>1.5</v>
      </c>
      <c r="M781">
        <v>36.39</v>
      </c>
      <c r="N781">
        <v>3</v>
      </c>
      <c r="O781">
        <v>6</v>
      </c>
      <c r="P781">
        <v>655.02</v>
      </c>
      <c r="Q781">
        <v>9.9499999999999993</v>
      </c>
      <c r="R781">
        <v>645.07000000000005</v>
      </c>
      <c r="AC781" s="1">
        <v>43441</v>
      </c>
    </row>
    <row r="782" spans="1:29" x14ac:dyDescent="0.25">
      <c r="A782" t="s">
        <v>380</v>
      </c>
      <c r="D782" t="s">
        <v>1381</v>
      </c>
      <c r="E782" t="s">
        <v>2048</v>
      </c>
      <c r="F782" t="s">
        <v>2077</v>
      </c>
      <c r="G782" t="s">
        <v>2085</v>
      </c>
      <c r="H782" t="s">
        <v>2094</v>
      </c>
      <c r="I782" t="s">
        <v>2097</v>
      </c>
      <c r="J782">
        <v>3143</v>
      </c>
      <c r="K782">
        <v>28.68</v>
      </c>
      <c r="L782">
        <v>2.9</v>
      </c>
      <c r="M782">
        <v>33.83</v>
      </c>
      <c r="N782">
        <v>1</v>
      </c>
      <c r="O782">
        <v>16</v>
      </c>
      <c r="P782">
        <v>541.28</v>
      </c>
      <c r="Q782">
        <v>5.64</v>
      </c>
      <c r="R782">
        <v>535.64</v>
      </c>
      <c r="AC782" s="1">
        <v>42236</v>
      </c>
    </row>
    <row r="783" spans="1:29" x14ac:dyDescent="0.25">
      <c r="A783" t="s">
        <v>403</v>
      </c>
      <c r="D783" t="s">
        <v>1403</v>
      </c>
      <c r="E783" t="s">
        <v>2044</v>
      </c>
      <c r="F783" t="s">
        <v>2081</v>
      </c>
      <c r="G783" t="s">
        <v>2085</v>
      </c>
      <c r="H783" t="s">
        <v>2092</v>
      </c>
      <c r="I783" t="s">
        <v>2108</v>
      </c>
      <c r="J783">
        <v>4688</v>
      </c>
      <c r="K783">
        <v>21.27</v>
      </c>
      <c r="L783">
        <v>1.1000000000000001</v>
      </c>
      <c r="M783">
        <v>19.420000000000002</v>
      </c>
      <c r="N783">
        <v>1</v>
      </c>
      <c r="O783">
        <v>7</v>
      </c>
      <c r="P783">
        <v>135.94</v>
      </c>
      <c r="Q783">
        <v>1.22</v>
      </c>
      <c r="R783">
        <v>134.72</v>
      </c>
      <c r="AC783" s="1">
        <v>42070</v>
      </c>
    </row>
    <row r="784" spans="1:29" x14ac:dyDescent="0.25">
      <c r="A784" t="s">
        <v>422</v>
      </c>
      <c r="D784" t="s">
        <v>1421</v>
      </c>
      <c r="E784" t="s">
        <v>1988</v>
      </c>
      <c r="F784" t="s">
        <v>2075</v>
      </c>
      <c r="G784" t="s">
        <v>2085</v>
      </c>
      <c r="H784" t="s">
        <v>2092</v>
      </c>
      <c r="I784" t="s">
        <v>2103</v>
      </c>
      <c r="J784">
        <v>2601</v>
      </c>
      <c r="K784">
        <v>36.36</v>
      </c>
      <c r="L784">
        <v>4.2</v>
      </c>
      <c r="M784">
        <v>10.11</v>
      </c>
      <c r="N784">
        <v>4</v>
      </c>
      <c r="O784">
        <v>13</v>
      </c>
      <c r="P784">
        <v>525.72</v>
      </c>
      <c r="Q784">
        <v>8.1</v>
      </c>
      <c r="R784">
        <v>517.62</v>
      </c>
      <c r="AC784" s="1">
        <v>40450</v>
      </c>
    </row>
    <row r="785" spans="1:29" x14ac:dyDescent="0.25">
      <c r="A785" t="s">
        <v>432</v>
      </c>
      <c r="D785" t="s">
        <v>1430</v>
      </c>
      <c r="E785" t="s">
        <v>2020</v>
      </c>
      <c r="F785" t="s">
        <v>2079</v>
      </c>
      <c r="G785" t="s">
        <v>2085</v>
      </c>
      <c r="H785" t="s">
        <v>2094</v>
      </c>
      <c r="I785" t="s">
        <v>2110</v>
      </c>
      <c r="J785">
        <v>1126</v>
      </c>
      <c r="K785">
        <v>29.57</v>
      </c>
      <c r="L785">
        <v>4.4000000000000004</v>
      </c>
      <c r="M785">
        <v>34.520000000000003</v>
      </c>
      <c r="N785">
        <v>3</v>
      </c>
      <c r="O785">
        <v>10</v>
      </c>
      <c r="P785">
        <v>1035.5999999999999</v>
      </c>
      <c r="Q785">
        <v>0.73</v>
      </c>
      <c r="R785">
        <v>1034.8699999999999</v>
      </c>
      <c r="AC785" s="1">
        <v>42030</v>
      </c>
    </row>
    <row r="786" spans="1:29" x14ac:dyDescent="0.25">
      <c r="A786" t="s">
        <v>441</v>
      </c>
      <c r="D786" t="s">
        <v>1439</v>
      </c>
      <c r="E786" t="s">
        <v>1973</v>
      </c>
      <c r="F786" t="s">
        <v>2073</v>
      </c>
      <c r="G786" t="s">
        <v>2085</v>
      </c>
      <c r="H786" t="s">
        <v>2096</v>
      </c>
      <c r="I786" t="s">
        <v>2098</v>
      </c>
      <c r="J786">
        <v>1124</v>
      </c>
      <c r="K786">
        <v>24.9</v>
      </c>
      <c r="L786">
        <v>3.7</v>
      </c>
      <c r="M786">
        <v>7.46</v>
      </c>
      <c r="N786">
        <v>3</v>
      </c>
      <c r="O786">
        <v>14</v>
      </c>
      <c r="P786">
        <v>313.32</v>
      </c>
      <c r="Q786">
        <v>0.65</v>
      </c>
      <c r="R786">
        <v>312.67</v>
      </c>
      <c r="AC786" s="1">
        <v>42122</v>
      </c>
    </row>
    <row r="787" spans="1:29" x14ac:dyDescent="0.25">
      <c r="A787" t="s">
        <v>444</v>
      </c>
      <c r="D787" t="s">
        <v>1442</v>
      </c>
      <c r="E787" t="s">
        <v>2019</v>
      </c>
      <c r="F787" t="s">
        <v>2073</v>
      </c>
      <c r="G787" t="s">
        <v>2085</v>
      </c>
      <c r="H787" t="s">
        <v>2095</v>
      </c>
      <c r="I787" t="s">
        <v>2110</v>
      </c>
      <c r="J787">
        <v>4275</v>
      </c>
      <c r="K787">
        <v>17.13</v>
      </c>
      <c r="L787">
        <v>3.8</v>
      </c>
      <c r="M787">
        <v>36.58</v>
      </c>
      <c r="N787">
        <v>4</v>
      </c>
      <c r="O787">
        <v>17</v>
      </c>
      <c r="P787">
        <v>2487.44</v>
      </c>
      <c r="Q787">
        <v>4.28</v>
      </c>
      <c r="R787">
        <v>2483.16</v>
      </c>
      <c r="AC787" s="1">
        <v>43179</v>
      </c>
    </row>
    <row r="788" spans="1:29" x14ac:dyDescent="0.25">
      <c r="A788" t="s">
        <v>491</v>
      </c>
      <c r="D788" t="s">
        <v>1489</v>
      </c>
      <c r="E788" t="s">
        <v>2063</v>
      </c>
      <c r="F788" t="s">
        <v>2079</v>
      </c>
      <c r="G788" t="s">
        <v>2085</v>
      </c>
      <c r="H788" t="s">
        <v>2095</v>
      </c>
      <c r="I788" t="s">
        <v>2098</v>
      </c>
      <c r="J788">
        <v>797</v>
      </c>
      <c r="K788">
        <v>17.14</v>
      </c>
      <c r="L788">
        <v>2.1</v>
      </c>
      <c r="M788">
        <v>13.16</v>
      </c>
      <c r="N788">
        <v>2</v>
      </c>
      <c r="O788">
        <v>7</v>
      </c>
      <c r="P788">
        <v>184.24</v>
      </c>
      <c r="Q788">
        <v>2.5499999999999998</v>
      </c>
      <c r="R788">
        <v>181.69</v>
      </c>
      <c r="AC788" s="1">
        <v>43355</v>
      </c>
    </row>
    <row r="789" spans="1:29" x14ac:dyDescent="0.25">
      <c r="A789" t="s">
        <v>502</v>
      </c>
      <c r="D789" t="s">
        <v>1498</v>
      </c>
      <c r="E789" t="s">
        <v>2020</v>
      </c>
      <c r="F789" t="s">
        <v>2080</v>
      </c>
      <c r="G789" t="s">
        <v>2085</v>
      </c>
      <c r="H789" t="s">
        <v>2095</v>
      </c>
      <c r="I789" t="s">
        <v>2102</v>
      </c>
      <c r="J789">
        <v>4728</v>
      </c>
      <c r="K789">
        <v>41.54</v>
      </c>
      <c r="L789">
        <v>3.6</v>
      </c>
      <c r="M789">
        <v>35.659999999999997</v>
      </c>
      <c r="N789">
        <v>5</v>
      </c>
      <c r="O789">
        <v>2</v>
      </c>
      <c r="P789">
        <v>356.59999999999997</v>
      </c>
      <c r="Q789">
        <v>5.8</v>
      </c>
      <c r="R789">
        <v>350.8</v>
      </c>
      <c r="AC789" s="1">
        <v>41929</v>
      </c>
    </row>
    <row r="790" spans="1:29" x14ac:dyDescent="0.25">
      <c r="A790" t="s">
        <v>779</v>
      </c>
      <c r="D790" t="s">
        <v>1755</v>
      </c>
      <c r="E790" t="s">
        <v>2031</v>
      </c>
      <c r="F790" t="s">
        <v>2079</v>
      </c>
      <c r="G790" t="s">
        <v>2085</v>
      </c>
      <c r="H790" t="s">
        <v>2094</v>
      </c>
      <c r="I790" t="s">
        <v>2100</v>
      </c>
      <c r="J790">
        <v>4066</v>
      </c>
      <c r="K790">
        <v>24.33</v>
      </c>
      <c r="L790">
        <v>1.6</v>
      </c>
      <c r="M790">
        <v>22.23</v>
      </c>
      <c r="N790">
        <v>5</v>
      </c>
      <c r="O790">
        <v>6</v>
      </c>
      <c r="P790">
        <v>666.90000000000009</v>
      </c>
      <c r="Q790">
        <v>9.58</v>
      </c>
      <c r="R790">
        <v>657.32</v>
      </c>
      <c r="AC790" s="1">
        <v>42520</v>
      </c>
    </row>
    <row r="791" spans="1:29" x14ac:dyDescent="0.25">
      <c r="A791" t="s">
        <v>30</v>
      </c>
      <c r="D791" t="s">
        <v>1040</v>
      </c>
      <c r="E791" t="s">
        <v>1985</v>
      </c>
      <c r="F791" t="s">
        <v>2074</v>
      </c>
      <c r="G791" t="s">
        <v>2091</v>
      </c>
      <c r="H791" t="s">
        <v>2096</v>
      </c>
      <c r="I791" t="s">
        <v>2097</v>
      </c>
      <c r="J791">
        <v>199</v>
      </c>
      <c r="K791">
        <v>8.9600000000000009</v>
      </c>
      <c r="L791">
        <v>2</v>
      </c>
      <c r="M791">
        <v>39.51</v>
      </c>
      <c r="N791">
        <v>2</v>
      </c>
      <c r="O791">
        <v>1</v>
      </c>
      <c r="P791">
        <v>79.02</v>
      </c>
      <c r="Q791">
        <v>7.1</v>
      </c>
      <c r="R791">
        <v>71.92</v>
      </c>
      <c r="AC791" s="1">
        <v>40852</v>
      </c>
    </row>
    <row r="792" spans="1:29" x14ac:dyDescent="0.25">
      <c r="A792" t="s">
        <v>146</v>
      </c>
      <c r="D792" t="s">
        <v>1155</v>
      </c>
      <c r="E792" t="s">
        <v>2043</v>
      </c>
      <c r="F792" t="s">
        <v>2079</v>
      </c>
      <c r="G792" t="s">
        <v>2091</v>
      </c>
      <c r="H792" t="s">
        <v>2094</v>
      </c>
      <c r="I792" t="s">
        <v>2104</v>
      </c>
      <c r="J792">
        <v>138</v>
      </c>
      <c r="K792">
        <v>25.46</v>
      </c>
      <c r="L792">
        <v>1.7</v>
      </c>
      <c r="M792">
        <v>23.2</v>
      </c>
      <c r="N792">
        <v>5</v>
      </c>
      <c r="O792">
        <v>12</v>
      </c>
      <c r="P792">
        <v>1392</v>
      </c>
      <c r="Q792">
        <v>7.67</v>
      </c>
      <c r="R792">
        <v>1384.33</v>
      </c>
      <c r="AC792" s="1">
        <v>42433</v>
      </c>
    </row>
    <row r="793" spans="1:29" x14ac:dyDescent="0.25">
      <c r="A793" t="s">
        <v>414</v>
      </c>
      <c r="D793" t="s">
        <v>1413</v>
      </c>
      <c r="E793" t="s">
        <v>2060</v>
      </c>
      <c r="F793" t="s">
        <v>2075</v>
      </c>
      <c r="G793" t="s">
        <v>2091</v>
      </c>
      <c r="H793" t="s">
        <v>2094</v>
      </c>
      <c r="I793" t="s">
        <v>2106</v>
      </c>
      <c r="J793">
        <v>730</v>
      </c>
      <c r="K793">
        <v>25.56</v>
      </c>
      <c r="L793">
        <v>1.4</v>
      </c>
      <c r="M793">
        <v>21.33</v>
      </c>
      <c r="N793">
        <v>5</v>
      </c>
      <c r="O793">
        <v>2</v>
      </c>
      <c r="P793">
        <v>213.29999999999998</v>
      </c>
      <c r="Q793">
        <v>2.2000000000000002</v>
      </c>
      <c r="R793">
        <v>211.1</v>
      </c>
      <c r="AC793" s="1">
        <v>43028</v>
      </c>
    </row>
    <row r="794" spans="1:29" x14ac:dyDescent="0.25">
      <c r="A794" t="s">
        <v>455</v>
      </c>
      <c r="D794" t="s">
        <v>1453</v>
      </c>
      <c r="E794" t="s">
        <v>2020</v>
      </c>
      <c r="F794" t="s">
        <v>2074</v>
      </c>
      <c r="G794" t="s">
        <v>2091</v>
      </c>
      <c r="H794" t="s">
        <v>2095</v>
      </c>
      <c r="I794" t="s">
        <v>2106</v>
      </c>
      <c r="J794">
        <v>1978</v>
      </c>
      <c r="K794">
        <v>28.75</v>
      </c>
      <c r="L794">
        <v>1.2</v>
      </c>
      <c r="M794">
        <v>35.61</v>
      </c>
      <c r="N794">
        <v>3</v>
      </c>
      <c r="O794">
        <v>15</v>
      </c>
      <c r="P794">
        <v>1602.45</v>
      </c>
      <c r="Q794">
        <v>0.65</v>
      </c>
      <c r="R794">
        <v>1601.8</v>
      </c>
      <c r="AC794" s="1">
        <v>43200</v>
      </c>
    </row>
    <row r="795" spans="1:29" x14ac:dyDescent="0.25">
      <c r="A795" t="s">
        <v>568</v>
      </c>
      <c r="D795" t="s">
        <v>1559</v>
      </c>
      <c r="E795" t="s">
        <v>2024</v>
      </c>
      <c r="F795" t="s">
        <v>2076</v>
      </c>
      <c r="G795" t="s">
        <v>2091</v>
      </c>
      <c r="H795" t="s">
        <v>2096</v>
      </c>
      <c r="I795" t="s">
        <v>2103</v>
      </c>
      <c r="J795">
        <v>2880</v>
      </c>
      <c r="K795">
        <v>23.75</v>
      </c>
      <c r="L795">
        <v>3.6</v>
      </c>
      <c r="M795">
        <v>30.75</v>
      </c>
      <c r="N795">
        <v>1</v>
      </c>
      <c r="O795">
        <v>10</v>
      </c>
      <c r="P795">
        <v>307.5</v>
      </c>
      <c r="Q795">
        <v>0.56000000000000005</v>
      </c>
      <c r="R795">
        <v>306.94</v>
      </c>
      <c r="AC795" s="1">
        <v>41926</v>
      </c>
    </row>
    <row r="796" spans="1:29" x14ac:dyDescent="0.25">
      <c r="A796" t="s">
        <v>577</v>
      </c>
      <c r="D796" t="s">
        <v>1423</v>
      </c>
      <c r="E796" t="s">
        <v>2052</v>
      </c>
      <c r="F796" t="s">
        <v>2078</v>
      </c>
      <c r="G796" t="s">
        <v>2091</v>
      </c>
      <c r="H796" t="s">
        <v>2093</v>
      </c>
      <c r="I796" t="s">
        <v>2105</v>
      </c>
      <c r="J796">
        <v>4476</v>
      </c>
      <c r="K796">
        <v>47.58</v>
      </c>
      <c r="L796">
        <v>1.8</v>
      </c>
      <c r="M796">
        <v>19.48</v>
      </c>
      <c r="N796">
        <v>2</v>
      </c>
      <c r="O796">
        <v>1</v>
      </c>
      <c r="P796">
        <v>38.96</v>
      </c>
      <c r="Q796">
        <v>3.58</v>
      </c>
      <c r="R796">
        <v>35.380000000000003</v>
      </c>
      <c r="AC796" s="1">
        <v>42159</v>
      </c>
    </row>
    <row r="797" spans="1:29" x14ac:dyDescent="0.25">
      <c r="A797" t="s">
        <v>618</v>
      </c>
      <c r="D797" t="s">
        <v>1604</v>
      </c>
      <c r="E797" t="s">
        <v>2048</v>
      </c>
      <c r="F797" t="s">
        <v>2079</v>
      </c>
      <c r="G797" t="s">
        <v>2091</v>
      </c>
      <c r="H797" t="s">
        <v>2096</v>
      </c>
      <c r="I797" t="s">
        <v>2100</v>
      </c>
      <c r="J797">
        <v>1849</v>
      </c>
      <c r="K797">
        <v>46.22</v>
      </c>
      <c r="L797">
        <v>1.5</v>
      </c>
      <c r="M797">
        <v>10.01</v>
      </c>
      <c r="N797">
        <v>2</v>
      </c>
      <c r="O797">
        <v>18</v>
      </c>
      <c r="P797">
        <v>360.36</v>
      </c>
      <c r="Q797">
        <v>8.65</v>
      </c>
      <c r="R797">
        <v>351.71</v>
      </c>
      <c r="AC797" s="1">
        <v>41724</v>
      </c>
    </row>
    <row r="798" spans="1:29" x14ac:dyDescent="0.25">
      <c r="A798" t="s">
        <v>626</v>
      </c>
      <c r="D798" t="s">
        <v>1611</v>
      </c>
      <c r="E798" t="s">
        <v>1995</v>
      </c>
      <c r="F798" t="s">
        <v>2077</v>
      </c>
      <c r="G798" t="s">
        <v>2091</v>
      </c>
      <c r="H798" t="s">
        <v>2093</v>
      </c>
      <c r="I798" t="s">
        <v>2111</v>
      </c>
      <c r="J798">
        <v>4155</v>
      </c>
      <c r="K798">
        <v>5.71</v>
      </c>
      <c r="L798">
        <v>3.9</v>
      </c>
      <c r="M798">
        <v>32.42</v>
      </c>
      <c r="N798">
        <v>1</v>
      </c>
      <c r="O798">
        <v>8</v>
      </c>
      <c r="P798">
        <v>259.36</v>
      </c>
      <c r="Q798">
        <v>4.5999999999999996</v>
      </c>
      <c r="R798">
        <v>254.76</v>
      </c>
      <c r="AC798" s="1">
        <v>43342</v>
      </c>
    </row>
    <row r="799" spans="1:29" x14ac:dyDescent="0.25">
      <c r="A799" t="s">
        <v>682</v>
      </c>
      <c r="D799" t="s">
        <v>1664</v>
      </c>
      <c r="E799" t="s">
        <v>1985</v>
      </c>
      <c r="F799" t="s">
        <v>2077</v>
      </c>
      <c r="G799" t="s">
        <v>2091</v>
      </c>
      <c r="H799" t="s">
        <v>2095</v>
      </c>
      <c r="I799" t="s">
        <v>2107</v>
      </c>
      <c r="J799">
        <v>4469</v>
      </c>
      <c r="K799">
        <v>14.62</v>
      </c>
      <c r="L799">
        <v>4.5999999999999996</v>
      </c>
      <c r="M799">
        <v>17.510000000000002</v>
      </c>
      <c r="N799">
        <v>3</v>
      </c>
      <c r="O799">
        <v>3</v>
      </c>
      <c r="P799">
        <v>157.59</v>
      </c>
      <c r="Q799">
        <v>7.21</v>
      </c>
      <c r="R799">
        <v>150.38</v>
      </c>
      <c r="AC799" s="1">
        <v>42777</v>
      </c>
    </row>
    <row r="800" spans="1:29" x14ac:dyDescent="0.25">
      <c r="A800" t="s">
        <v>854</v>
      </c>
      <c r="D800" t="s">
        <v>1822</v>
      </c>
      <c r="E800" t="s">
        <v>2033</v>
      </c>
      <c r="F800" t="s">
        <v>2077</v>
      </c>
      <c r="G800" t="s">
        <v>2091</v>
      </c>
      <c r="H800" t="s">
        <v>2094</v>
      </c>
      <c r="I800" t="s">
        <v>2102</v>
      </c>
      <c r="J800">
        <v>1181</v>
      </c>
      <c r="K800">
        <v>39.92</v>
      </c>
      <c r="L800">
        <v>1.3</v>
      </c>
      <c r="M800">
        <v>23.13</v>
      </c>
      <c r="N800">
        <v>3</v>
      </c>
      <c r="O800">
        <v>18</v>
      </c>
      <c r="P800">
        <v>1249.02</v>
      </c>
      <c r="Q800">
        <v>2.96</v>
      </c>
      <c r="R800">
        <v>1246.06</v>
      </c>
      <c r="AC800" s="1">
        <v>41867</v>
      </c>
    </row>
    <row r="801" spans="1:29" x14ac:dyDescent="0.25">
      <c r="A801" t="s">
        <v>886</v>
      </c>
      <c r="D801" t="s">
        <v>1852</v>
      </c>
      <c r="E801" t="s">
        <v>2006</v>
      </c>
      <c r="F801" t="s">
        <v>2073</v>
      </c>
      <c r="G801" t="s">
        <v>2091</v>
      </c>
      <c r="H801" t="s">
        <v>2096</v>
      </c>
      <c r="I801" t="s">
        <v>2110</v>
      </c>
      <c r="J801">
        <v>3362</v>
      </c>
      <c r="K801">
        <v>19.059999999999999</v>
      </c>
      <c r="L801">
        <v>3.2</v>
      </c>
      <c r="M801">
        <v>31.51</v>
      </c>
      <c r="N801">
        <v>2</v>
      </c>
      <c r="O801">
        <v>6</v>
      </c>
      <c r="P801">
        <v>378.12</v>
      </c>
      <c r="Q801">
        <v>1.65</v>
      </c>
      <c r="R801">
        <v>376.47</v>
      </c>
      <c r="AC801" s="1">
        <v>43344</v>
      </c>
    </row>
    <row r="802" spans="1:29" x14ac:dyDescent="0.25">
      <c r="A802" t="s">
        <v>908</v>
      </c>
      <c r="D802" t="s">
        <v>1873</v>
      </c>
      <c r="E802" t="s">
        <v>2064</v>
      </c>
      <c r="F802" t="s">
        <v>2075</v>
      </c>
      <c r="G802" t="s">
        <v>2091</v>
      </c>
      <c r="H802" t="s">
        <v>2093</v>
      </c>
      <c r="I802" t="s">
        <v>2109</v>
      </c>
      <c r="J802">
        <v>3377</v>
      </c>
      <c r="K802">
        <v>30.67</v>
      </c>
      <c r="L802">
        <v>2.4</v>
      </c>
      <c r="M802">
        <v>26.75</v>
      </c>
      <c r="N802">
        <v>5</v>
      </c>
      <c r="O802">
        <v>20</v>
      </c>
      <c r="P802">
        <v>2675</v>
      </c>
      <c r="Q802">
        <v>7.85</v>
      </c>
      <c r="R802">
        <v>2667.15</v>
      </c>
      <c r="AC802" s="1">
        <v>42951</v>
      </c>
    </row>
    <row r="803" spans="1:29" x14ac:dyDescent="0.25">
      <c r="A803" t="s">
        <v>42</v>
      </c>
      <c r="D803" t="s">
        <v>1052</v>
      </c>
      <c r="E803" t="s">
        <v>1995</v>
      </c>
      <c r="F803" t="s">
        <v>2081</v>
      </c>
      <c r="G803" t="s">
        <v>2086</v>
      </c>
      <c r="H803" t="s">
        <v>2096</v>
      </c>
      <c r="I803" t="s">
        <v>2106</v>
      </c>
      <c r="J803">
        <v>162</v>
      </c>
      <c r="K803">
        <v>34.78</v>
      </c>
      <c r="L803">
        <v>4.0999999999999996</v>
      </c>
      <c r="M803">
        <v>22.02</v>
      </c>
      <c r="N803">
        <v>5</v>
      </c>
      <c r="O803">
        <v>7</v>
      </c>
      <c r="P803">
        <v>770.69999999999993</v>
      </c>
      <c r="Q803">
        <v>8.0299999999999994</v>
      </c>
      <c r="R803">
        <v>762.67</v>
      </c>
      <c r="AC803" s="1">
        <v>41331</v>
      </c>
    </row>
    <row r="804" spans="1:29" x14ac:dyDescent="0.25">
      <c r="A804" t="s">
        <v>105</v>
      </c>
      <c r="D804" t="s">
        <v>1115</v>
      </c>
      <c r="E804" t="s">
        <v>2008</v>
      </c>
      <c r="F804" t="s">
        <v>2076</v>
      </c>
      <c r="G804" t="s">
        <v>2086</v>
      </c>
      <c r="H804" t="s">
        <v>2095</v>
      </c>
      <c r="I804" t="s">
        <v>2101</v>
      </c>
      <c r="J804">
        <v>686</v>
      </c>
      <c r="K804">
        <v>30.66</v>
      </c>
      <c r="L804">
        <v>4.0999999999999996</v>
      </c>
      <c r="M804">
        <v>36.82</v>
      </c>
      <c r="N804">
        <v>4</v>
      </c>
      <c r="O804">
        <v>13</v>
      </c>
      <c r="P804">
        <v>1914.64</v>
      </c>
      <c r="Q804">
        <v>3.77</v>
      </c>
      <c r="R804">
        <v>1910.87</v>
      </c>
      <c r="AC804" s="1">
        <v>40267</v>
      </c>
    </row>
    <row r="805" spans="1:29" x14ac:dyDescent="0.25">
      <c r="A805" t="s">
        <v>216</v>
      </c>
      <c r="D805" t="s">
        <v>1225</v>
      </c>
      <c r="E805" t="s">
        <v>1980</v>
      </c>
      <c r="F805" t="s">
        <v>2073</v>
      </c>
      <c r="G805" t="s">
        <v>2086</v>
      </c>
      <c r="H805" t="s">
        <v>2094</v>
      </c>
      <c r="I805" t="s">
        <v>2097</v>
      </c>
      <c r="J805">
        <v>1399</v>
      </c>
      <c r="K805">
        <v>26.91</v>
      </c>
      <c r="L805">
        <v>4.7</v>
      </c>
      <c r="M805">
        <v>27.02</v>
      </c>
      <c r="N805">
        <v>4</v>
      </c>
      <c r="O805">
        <v>3</v>
      </c>
      <c r="P805">
        <v>324.24</v>
      </c>
      <c r="Q805">
        <v>3.22</v>
      </c>
      <c r="R805">
        <v>321.02</v>
      </c>
      <c r="AC805" s="1">
        <v>42456</v>
      </c>
    </row>
    <row r="806" spans="1:29" x14ac:dyDescent="0.25">
      <c r="A806" t="s">
        <v>229</v>
      </c>
      <c r="D806" t="s">
        <v>1238</v>
      </c>
      <c r="E806" t="s">
        <v>2042</v>
      </c>
      <c r="F806" t="s">
        <v>2075</v>
      </c>
      <c r="G806" t="s">
        <v>2086</v>
      </c>
      <c r="H806" t="s">
        <v>2095</v>
      </c>
      <c r="I806" t="s">
        <v>2106</v>
      </c>
      <c r="J806">
        <v>849</v>
      </c>
      <c r="K806">
        <v>41.77</v>
      </c>
      <c r="L806">
        <v>4.0999999999999996</v>
      </c>
      <c r="M806">
        <v>25.04</v>
      </c>
      <c r="N806">
        <v>3</v>
      </c>
      <c r="O806">
        <v>19</v>
      </c>
      <c r="P806">
        <v>1427.2800000000002</v>
      </c>
      <c r="Q806">
        <v>9.1</v>
      </c>
      <c r="R806">
        <v>1418.18</v>
      </c>
      <c r="AC806" s="1">
        <v>41594</v>
      </c>
    </row>
    <row r="807" spans="1:29" x14ac:dyDescent="0.25">
      <c r="A807" t="s">
        <v>326</v>
      </c>
      <c r="D807" t="s">
        <v>1329</v>
      </c>
      <c r="E807" t="s">
        <v>2029</v>
      </c>
      <c r="F807" t="s">
        <v>2080</v>
      </c>
      <c r="G807" t="s">
        <v>2086</v>
      </c>
      <c r="H807" t="s">
        <v>2092</v>
      </c>
      <c r="I807" t="s">
        <v>2103</v>
      </c>
      <c r="J807">
        <v>1324</v>
      </c>
      <c r="K807">
        <v>10.3</v>
      </c>
      <c r="L807">
        <v>3.3</v>
      </c>
      <c r="M807">
        <v>15.92</v>
      </c>
      <c r="N807">
        <v>4</v>
      </c>
      <c r="O807">
        <v>6</v>
      </c>
      <c r="P807">
        <v>382.08</v>
      </c>
      <c r="Q807">
        <v>6.63</v>
      </c>
      <c r="R807">
        <v>375.45</v>
      </c>
      <c r="AC807" s="1">
        <v>42818</v>
      </c>
    </row>
    <row r="808" spans="1:29" x14ac:dyDescent="0.25">
      <c r="A808" t="s">
        <v>642</v>
      </c>
      <c r="D808" t="s">
        <v>1627</v>
      </c>
      <c r="E808" t="s">
        <v>2056</v>
      </c>
      <c r="F808" t="s">
        <v>2073</v>
      </c>
      <c r="G808" t="s">
        <v>2086</v>
      </c>
      <c r="H808" t="s">
        <v>2095</v>
      </c>
      <c r="I808" t="s">
        <v>2102</v>
      </c>
      <c r="J808">
        <v>1388</v>
      </c>
      <c r="K808">
        <v>32.549999999999997</v>
      </c>
      <c r="L808">
        <v>1.4</v>
      </c>
      <c r="M808">
        <v>9.17</v>
      </c>
      <c r="N808">
        <v>2</v>
      </c>
      <c r="O808">
        <v>13</v>
      </c>
      <c r="P808">
        <v>238.42</v>
      </c>
      <c r="Q808">
        <v>1.73</v>
      </c>
      <c r="R808">
        <v>236.69</v>
      </c>
      <c r="AC808" s="1">
        <v>42297</v>
      </c>
    </row>
    <row r="809" spans="1:29" x14ac:dyDescent="0.25">
      <c r="A809" t="s">
        <v>658</v>
      </c>
      <c r="D809" t="s">
        <v>1642</v>
      </c>
      <c r="E809" t="s">
        <v>2004</v>
      </c>
      <c r="F809" t="s">
        <v>2076</v>
      </c>
      <c r="G809" t="s">
        <v>2086</v>
      </c>
      <c r="H809" t="s">
        <v>2095</v>
      </c>
      <c r="I809" t="s">
        <v>2105</v>
      </c>
      <c r="J809">
        <v>225</v>
      </c>
      <c r="K809">
        <v>20.02</v>
      </c>
      <c r="L809">
        <v>4.9000000000000004</v>
      </c>
      <c r="M809">
        <v>8.31</v>
      </c>
      <c r="N809">
        <v>5</v>
      </c>
      <c r="O809">
        <v>3</v>
      </c>
      <c r="P809">
        <v>124.65</v>
      </c>
      <c r="Q809">
        <v>1.4</v>
      </c>
      <c r="R809">
        <v>123.25</v>
      </c>
      <c r="AC809" s="1">
        <v>41033</v>
      </c>
    </row>
    <row r="810" spans="1:29" x14ac:dyDescent="0.25">
      <c r="A810" t="s">
        <v>693</v>
      </c>
      <c r="D810" t="s">
        <v>1675</v>
      </c>
      <c r="E810" t="s">
        <v>1998</v>
      </c>
      <c r="F810" t="s">
        <v>2077</v>
      </c>
      <c r="G810" t="s">
        <v>2086</v>
      </c>
      <c r="H810" t="s">
        <v>2093</v>
      </c>
      <c r="I810" t="s">
        <v>2098</v>
      </c>
      <c r="J810">
        <v>1268</v>
      </c>
      <c r="K810">
        <v>14.97</v>
      </c>
      <c r="L810">
        <v>4.7</v>
      </c>
      <c r="M810">
        <v>33.96</v>
      </c>
      <c r="N810">
        <v>4</v>
      </c>
      <c r="O810">
        <v>1</v>
      </c>
      <c r="P810">
        <v>135.84</v>
      </c>
      <c r="Q810">
        <v>9.1300000000000008</v>
      </c>
      <c r="R810">
        <v>126.71</v>
      </c>
      <c r="AC810" s="1">
        <v>42069</v>
      </c>
    </row>
    <row r="811" spans="1:29" x14ac:dyDescent="0.25">
      <c r="A811" t="s">
        <v>718</v>
      </c>
      <c r="D811" t="s">
        <v>1697</v>
      </c>
      <c r="E811" t="s">
        <v>2044</v>
      </c>
      <c r="F811" t="s">
        <v>2073</v>
      </c>
      <c r="G811" t="s">
        <v>2086</v>
      </c>
      <c r="H811" t="s">
        <v>2095</v>
      </c>
      <c r="I811" t="s">
        <v>2106</v>
      </c>
      <c r="J811">
        <v>4876</v>
      </c>
      <c r="K811">
        <v>12.68</v>
      </c>
      <c r="L811">
        <v>3.7</v>
      </c>
      <c r="M811">
        <v>20.68</v>
      </c>
      <c r="N811">
        <v>4</v>
      </c>
      <c r="O811">
        <v>15</v>
      </c>
      <c r="P811">
        <v>1240.8</v>
      </c>
      <c r="Q811">
        <v>7.71</v>
      </c>
      <c r="R811">
        <v>1233.0899999999999</v>
      </c>
      <c r="AC811" s="1">
        <v>42692</v>
      </c>
    </row>
    <row r="812" spans="1:29" x14ac:dyDescent="0.25">
      <c r="A812" t="s">
        <v>864</v>
      </c>
      <c r="D812" t="s">
        <v>1832</v>
      </c>
      <c r="E812" t="s">
        <v>2067</v>
      </c>
      <c r="F812" t="s">
        <v>2073</v>
      </c>
      <c r="G812" t="s">
        <v>2086</v>
      </c>
      <c r="H812" t="s">
        <v>2096</v>
      </c>
      <c r="I812" t="s">
        <v>2109</v>
      </c>
      <c r="J812">
        <v>4378</v>
      </c>
      <c r="K812">
        <v>35.64</v>
      </c>
      <c r="L812">
        <v>2.4</v>
      </c>
      <c r="M812">
        <v>34.04</v>
      </c>
      <c r="N812">
        <v>2</v>
      </c>
      <c r="O812">
        <v>12</v>
      </c>
      <c r="P812">
        <v>816.96</v>
      </c>
      <c r="Q812">
        <v>9.4700000000000006</v>
      </c>
      <c r="R812">
        <v>807.49</v>
      </c>
      <c r="AC812" s="1">
        <v>42093</v>
      </c>
    </row>
    <row r="813" spans="1:29" x14ac:dyDescent="0.25">
      <c r="A813" t="s">
        <v>905</v>
      </c>
      <c r="D813" t="s">
        <v>1870</v>
      </c>
      <c r="E813" t="s">
        <v>2058</v>
      </c>
      <c r="F813" t="s">
        <v>2077</v>
      </c>
      <c r="G813" t="s">
        <v>2086</v>
      </c>
      <c r="H813" t="s">
        <v>2096</v>
      </c>
      <c r="I813" t="s">
        <v>2101</v>
      </c>
      <c r="J813">
        <v>1400</v>
      </c>
      <c r="K813">
        <v>13.71</v>
      </c>
      <c r="L813">
        <v>1.9</v>
      </c>
      <c r="M813">
        <v>14.6</v>
      </c>
      <c r="N813">
        <v>3</v>
      </c>
      <c r="O813">
        <v>17</v>
      </c>
      <c r="P813">
        <v>744.59999999999991</v>
      </c>
      <c r="Q813">
        <v>5.04</v>
      </c>
      <c r="R813">
        <v>739.56</v>
      </c>
      <c r="AC813" s="1">
        <v>42437</v>
      </c>
    </row>
    <row r="814" spans="1:29" x14ac:dyDescent="0.25">
      <c r="A814" t="s">
        <v>984</v>
      </c>
      <c r="D814" t="s">
        <v>1943</v>
      </c>
      <c r="E814" t="s">
        <v>2006</v>
      </c>
      <c r="F814" t="s">
        <v>2075</v>
      </c>
      <c r="G814" t="s">
        <v>2086</v>
      </c>
      <c r="H814" t="s">
        <v>2095</v>
      </c>
      <c r="I814" t="s">
        <v>2109</v>
      </c>
      <c r="J814">
        <v>1124</v>
      </c>
      <c r="K814">
        <v>29.13</v>
      </c>
      <c r="L814">
        <v>4.4000000000000004</v>
      </c>
      <c r="M814">
        <v>34.9</v>
      </c>
      <c r="N814">
        <v>3</v>
      </c>
      <c r="O814">
        <v>2</v>
      </c>
      <c r="P814">
        <v>209.39999999999998</v>
      </c>
      <c r="Q814">
        <v>4.3099999999999996</v>
      </c>
      <c r="R814">
        <v>205.09</v>
      </c>
      <c r="AC814" s="1">
        <v>43012</v>
      </c>
    </row>
    <row r="815" spans="1:29" x14ac:dyDescent="0.25">
      <c r="A815" t="s">
        <v>996</v>
      </c>
      <c r="D815" t="s">
        <v>1954</v>
      </c>
      <c r="E815" t="s">
        <v>2015</v>
      </c>
      <c r="F815" t="s">
        <v>2078</v>
      </c>
      <c r="G815" t="s">
        <v>2086</v>
      </c>
      <c r="H815" t="s">
        <v>2094</v>
      </c>
      <c r="I815" t="s">
        <v>2104</v>
      </c>
      <c r="J815">
        <v>1416</v>
      </c>
      <c r="K815">
        <v>16.2</v>
      </c>
      <c r="L815">
        <v>1.8</v>
      </c>
      <c r="M815">
        <v>20.9</v>
      </c>
      <c r="N815">
        <v>4</v>
      </c>
      <c r="O815">
        <v>11</v>
      </c>
      <c r="P815">
        <v>919.59999999999991</v>
      </c>
      <c r="Q815">
        <v>1.89</v>
      </c>
      <c r="R815">
        <v>917.71</v>
      </c>
      <c r="AC815" s="1">
        <v>40459</v>
      </c>
    </row>
    <row r="816" spans="1:29" x14ac:dyDescent="0.25">
      <c r="A816" t="s">
        <v>28</v>
      </c>
      <c r="D816" t="s">
        <v>1038</v>
      </c>
      <c r="E816" t="s">
        <v>1983</v>
      </c>
      <c r="F816" t="s">
        <v>2073</v>
      </c>
      <c r="G816" t="s">
        <v>2089</v>
      </c>
      <c r="H816" t="s">
        <v>2092</v>
      </c>
      <c r="I816" t="s">
        <v>2100</v>
      </c>
      <c r="J816">
        <v>4228</v>
      </c>
      <c r="K816">
        <v>40.119999999999997</v>
      </c>
      <c r="L816">
        <v>4.5</v>
      </c>
      <c r="M816">
        <v>21.46</v>
      </c>
      <c r="N816">
        <v>2</v>
      </c>
      <c r="O816">
        <v>17</v>
      </c>
      <c r="P816">
        <v>729.64</v>
      </c>
      <c r="Q816">
        <v>1.08</v>
      </c>
      <c r="R816">
        <v>728.56</v>
      </c>
      <c r="AC816" s="1">
        <v>40343</v>
      </c>
    </row>
    <row r="817" spans="1:29" x14ac:dyDescent="0.25">
      <c r="A817" t="s">
        <v>46</v>
      </c>
      <c r="D817" t="s">
        <v>1056</v>
      </c>
      <c r="E817" t="s">
        <v>1998</v>
      </c>
      <c r="F817" t="s">
        <v>2077</v>
      </c>
      <c r="G817" t="s">
        <v>2089</v>
      </c>
      <c r="H817" t="s">
        <v>2094</v>
      </c>
      <c r="I817" t="s">
        <v>2107</v>
      </c>
      <c r="J817">
        <v>3805</v>
      </c>
      <c r="K817">
        <v>40.82</v>
      </c>
      <c r="L817">
        <v>2.8</v>
      </c>
      <c r="M817">
        <v>25.26</v>
      </c>
      <c r="N817">
        <v>2</v>
      </c>
      <c r="O817">
        <v>12</v>
      </c>
      <c r="P817">
        <v>606.24</v>
      </c>
      <c r="Q817">
        <v>2.2400000000000002</v>
      </c>
      <c r="R817">
        <v>604</v>
      </c>
      <c r="AC817" s="1">
        <v>41348</v>
      </c>
    </row>
    <row r="818" spans="1:29" x14ac:dyDescent="0.25">
      <c r="A818" t="s">
        <v>187</v>
      </c>
      <c r="D818" t="s">
        <v>1196</v>
      </c>
      <c r="E818" t="s">
        <v>2048</v>
      </c>
      <c r="F818" t="s">
        <v>2075</v>
      </c>
      <c r="G818" t="s">
        <v>2089</v>
      </c>
      <c r="H818" t="s">
        <v>2093</v>
      </c>
      <c r="I818" t="s">
        <v>2100</v>
      </c>
      <c r="J818">
        <v>4666</v>
      </c>
      <c r="K818">
        <v>48.76</v>
      </c>
      <c r="L818">
        <v>3.3</v>
      </c>
      <c r="M818">
        <v>12.88</v>
      </c>
      <c r="N818">
        <v>2</v>
      </c>
      <c r="O818">
        <v>20</v>
      </c>
      <c r="P818">
        <v>515.20000000000005</v>
      </c>
      <c r="Q818">
        <v>2.98</v>
      </c>
      <c r="R818">
        <v>512.22</v>
      </c>
      <c r="AC818" s="1">
        <v>42125</v>
      </c>
    </row>
    <row r="819" spans="1:29" x14ac:dyDescent="0.25">
      <c r="A819" t="s">
        <v>194</v>
      </c>
      <c r="D819" t="s">
        <v>1203</v>
      </c>
      <c r="E819" t="s">
        <v>1993</v>
      </c>
      <c r="F819" t="s">
        <v>2076</v>
      </c>
      <c r="G819" t="s">
        <v>2089</v>
      </c>
      <c r="H819" t="s">
        <v>2094</v>
      </c>
      <c r="I819" t="s">
        <v>2107</v>
      </c>
      <c r="J819">
        <v>1125</v>
      </c>
      <c r="K819">
        <v>36.82</v>
      </c>
      <c r="L819">
        <v>4.7</v>
      </c>
      <c r="M819">
        <v>10.5</v>
      </c>
      <c r="N819">
        <v>5</v>
      </c>
      <c r="O819">
        <v>12</v>
      </c>
      <c r="P819">
        <v>630</v>
      </c>
      <c r="Q819">
        <v>3.47</v>
      </c>
      <c r="R819">
        <v>626.53</v>
      </c>
      <c r="AC819" s="1">
        <v>42634</v>
      </c>
    </row>
    <row r="820" spans="1:29" x14ac:dyDescent="0.25">
      <c r="A820" t="s">
        <v>255</v>
      </c>
      <c r="D820" t="s">
        <v>1262</v>
      </c>
      <c r="E820" t="s">
        <v>2060</v>
      </c>
      <c r="F820" t="s">
        <v>2075</v>
      </c>
      <c r="G820" t="s">
        <v>2089</v>
      </c>
      <c r="H820" t="s">
        <v>2095</v>
      </c>
      <c r="I820" t="s">
        <v>2104</v>
      </c>
      <c r="J820">
        <v>4729</v>
      </c>
      <c r="K820">
        <v>40.79</v>
      </c>
      <c r="L820">
        <v>3.6</v>
      </c>
      <c r="M820">
        <v>12.09</v>
      </c>
      <c r="N820">
        <v>2</v>
      </c>
      <c r="O820">
        <v>9</v>
      </c>
      <c r="P820">
        <v>217.62</v>
      </c>
      <c r="Q820">
        <v>6.98</v>
      </c>
      <c r="R820">
        <v>210.64</v>
      </c>
      <c r="AC820" s="1">
        <v>41998</v>
      </c>
    </row>
    <row r="821" spans="1:29" x14ac:dyDescent="0.25">
      <c r="A821" t="s">
        <v>307</v>
      </c>
      <c r="D821" t="s">
        <v>1311</v>
      </c>
      <c r="E821" t="s">
        <v>1988</v>
      </c>
      <c r="F821" t="s">
        <v>2079</v>
      </c>
      <c r="G821" t="s">
        <v>2089</v>
      </c>
      <c r="H821" t="s">
        <v>2093</v>
      </c>
      <c r="I821" t="s">
        <v>2105</v>
      </c>
      <c r="J821">
        <v>3904</v>
      </c>
      <c r="K821">
        <v>23.16</v>
      </c>
      <c r="L821">
        <v>4.9000000000000004</v>
      </c>
      <c r="M821">
        <v>39.369999999999997</v>
      </c>
      <c r="N821">
        <v>4</v>
      </c>
      <c r="O821">
        <v>7</v>
      </c>
      <c r="P821">
        <v>1102.3599999999999</v>
      </c>
      <c r="Q821">
        <v>1.32</v>
      </c>
      <c r="R821">
        <v>1101.04</v>
      </c>
      <c r="AC821" s="1">
        <v>41164</v>
      </c>
    </row>
    <row r="822" spans="1:29" x14ac:dyDescent="0.25">
      <c r="A822" t="s">
        <v>381</v>
      </c>
      <c r="D822" t="s">
        <v>1382</v>
      </c>
      <c r="E822" t="s">
        <v>1973</v>
      </c>
      <c r="F822" t="s">
        <v>2080</v>
      </c>
      <c r="G822" t="s">
        <v>2089</v>
      </c>
      <c r="H822" t="s">
        <v>2093</v>
      </c>
      <c r="I822" t="s">
        <v>2101</v>
      </c>
      <c r="J822">
        <v>2876</v>
      </c>
      <c r="K822">
        <v>10.11</v>
      </c>
      <c r="L822">
        <v>1.1000000000000001</v>
      </c>
      <c r="M822">
        <v>32.07</v>
      </c>
      <c r="N822">
        <v>1</v>
      </c>
      <c r="O822">
        <v>9</v>
      </c>
      <c r="P822">
        <v>288.63</v>
      </c>
      <c r="Q822">
        <v>7.28</v>
      </c>
      <c r="R822">
        <v>281.35000000000002</v>
      </c>
      <c r="AC822" s="1">
        <v>41976</v>
      </c>
    </row>
    <row r="823" spans="1:29" x14ac:dyDescent="0.25">
      <c r="A823" t="s">
        <v>426</v>
      </c>
      <c r="D823" t="s">
        <v>1424</v>
      </c>
      <c r="E823" t="s">
        <v>2064</v>
      </c>
      <c r="F823" t="s">
        <v>2082</v>
      </c>
      <c r="G823" t="s">
        <v>2089</v>
      </c>
      <c r="H823" t="s">
        <v>2096</v>
      </c>
      <c r="I823" t="s">
        <v>2106</v>
      </c>
      <c r="J823">
        <v>1474</v>
      </c>
      <c r="K823">
        <v>12.17</v>
      </c>
      <c r="L823">
        <v>4.0999999999999996</v>
      </c>
      <c r="M823">
        <v>21.32</v>
      </c>
      <c r="N823">
        <v>2</v>
      </c>
      <c r="O823">
        <v>6</v>
      </c>
      <c r="P823">
        <v>255.84</v>
      </c>
      <c r="Q823">
        <v>8.64</v>
      </c>
      <c r="R823">
        <v>247.2</v>
      </c>
      <c r="AC823" s="1">
        <v>42065</v>
      </c>
    </row>
    <row r="824" spans="1:29" x14ac:dyDescent="0.25">
      <c r="A824" t="s">
        <v>489</v>
      </c>
      <c r="D824" t="s">
        <v>1487</v>
      </c>
      <c r="E824" t="s">
        <v>2039</v>
      </c>
      <c r="F824" t="s">
        <v>2080</v>
      </c>
      <c r="G824" t="s">
        <v>2089</v>
      </c>
      <c r="H824" t="s">
        <v>2092</v>
      </c>
      <c r="I824" t="s">
        <v>2111</v>
      </c>
      <c r="J824">
        <v>1273</v>
      </c>
      <c r="K824">
        <v>48.68</v>
      </c>
      <c r="L824">
        <v>4.5</v>
      </c>
      <c r="M824">
        <v>16.71</v>
      </c>
      <c r="N824">
        <v>1</v>
      </c>
      <c r="O824">
        <v>20</v>
      </c>
      <c r="P824">
        <v>334.20000000000005</v>
      </c>
      <c r="Q824">
        <v>3.86</v>
      </c>
      <c r="R824">
        <v>330.34</v>
      </c>
      <c r="AC824" s="1">
        <v>43453</v>
      </c>
    </row>
    <row r="825" spans="1:29" x14ac:dyDescent="0.25">
      <c r="A825" t="s">
        <v>738</v>
      </c>
      <c r="D825" t="s">
        <v>1716</v>
      </c>
      <c r="E825" t="s">
        <v>1999</v>
      </c>
      <c r="F825" t="s">
        <v>2077</v>
      </c>
      <c r="G825" t="s">
        <v>2089</v>
      </c>
      <c r="H825" t="s">
        <v>2094</v>
      </c>
      <c r="I825" t="s">
        <v>2106</v>
      </c>
      <c r="J825">
        <v>2551</v>
      </c>
      <c r="K825">
        <v>25.56</v>
      </c>
      <c r="L825">
        <v>2.1</v>
      </c>
      <c r="M825">
        <v>13.47</v>
      </c>
      <c r="N825">
        <v>4</v>
      </c>
      <c r="O825">
        <v>18</v>
      </c>
      <c r="P825">
        <v>969.84</v>
      </c>
      <c r="Q825">
        <v>9.1999999999999993</v>
      </c>
      <c r="R825">
        <v>960.64</v>
      </c>
      <c r="AC825" s="1">
        <v>40971</v>
      </c>
    </row>
    <row r="826" spans="1:29" x14ac:dyDescent="0.25">
      <c r="A826" t="s">
        <v>802</v>
      </c>
      <c r="D826" t="s">
        <v>1487</v>
      </c>
      <c r="E826" t="s">
        <v>2022</v>
      </c>
      <c r="F826" t="s">
        <v>2081</v>
      </c>
      <c r="G826" t="s">
        <v>2089</v>
      </c>
      <c r="H826" t="s">
        <v>2096</v>
      </c>
      <c r="I826" t="s">
        <v>2099</v>
      </c>
      <c r="J826">
        <v>3875</v>
      </c>
      <c r="K826">
        <v>48.71</v>
      </c>
      <c r="L826">
        <v>2.4</v>
      </c>
      <c r="M826">
        <v>15.38</v>
      </c>
      <c r="N826">
        <v>2</v>
      </c>
      <c r="O826">
        <v>11</v>
      </c>
      <c r="P826">
        <v>338.36</v>
      </c>
      <c r="Q826">
        <v>3.91</v>
      </c>
      <c r="R826">
        <v>334.45</v>
      </c>
      <c r="AC826" s="1">
        <v>41748</v>
      </c>
    </row>
    <row r="827" spans="1:29" x14ac:dyDescent="0.25">
      <c r="A827" t="s">
        <v>832</v>
      </c>
      <c r="D827" t="s">
        <v>1802</v>
      </c>
      <c r="E827" t="s">
        <v>2004</v>
      </c>
      <c r="F827" t="s">
        <v>2076</v>
      </c>
      <c r="G827" t="s">
        <v>2089</v>
      </c>
      <c r="H827" t="s">
        <v>2093</v>
      </c>
      <c r="I827" t="s">
        <v>2111</v>
      </c>
      <c r="J827">
        <v>530</v>
      </c>
      <c r="K827">
        <v>44.56</v>
      </c>
      <c r="L827">
        <v>2.5</v>
      </c>
      <c r="M827">
        <v>37.44</v>
      </c>
      <c r="N827">
        <v>1</v>
      </c>
      <c r="O827">
        <v>20</v>
      </c>
      <c r="P827">
        <v>748.8</v>
      </c>
      <c r="Q827">
        <v>6.31</v>
      </c>
      <c r="R827">
        <v>742.49</v>
      </c>
      <c r="AC827" s="1">
        <v>41839</v>
      </c>
    </row>
    <row r="828" spans="1:29" x14ac:dyDescent="0.25">
      <c r="A828" t="s">
        <v>964</v>
      </c>
      <c r="D828" t="s">
        <v>1925</v>
      </c>
      <c r="E828" t="s">
        <v>2029</v>
      </c>
      <c r="F828" t="s">
        <v>2075</v>
      </c>
      <c r="G828" t="s">
        <v>2089</v>
      </c>
      <c r="H828" t="s">
        <v>2095</v>
      </c>
      <c r="I828" t="s">
        <v>2105</v>
      </c>
      <c r="J828">
        <v>773</v>
      </c>
      <c r="K828">
        <v>17.18</v>
      </c>
      <c r="L828">
        <v>3.4</v>
      </c>
      <c r="M828">
        <v>8.4</v>
      </c>
      <c r="N828">
        <v>2</v>
      </c>
      <c r="O828">
        <v>1</v>
      </c>
      <c r="P828">
        <v>16.8</v>
      </c>
      <c r="Q828">
        <v>2.83</v>
      </c>
      <c r="R828">
        <v>13.97</v>
      </c>
      <c r="AC828" s="1">
        <v>41451</v>
      </c>
    </row>
    <row r="829" spans="1:29" x14ac:dyDescent="0.25">
      <c r="A829" t="s">
        <v>74</v>
      </c>
      <c r="D829" t="s">
        <v>1084</v>
      </c>
      <c r="E829" t="s">
        <v>1994</v>
      </c>
      <c r="F829" t="s">
        <v>2074</v>
      </c>
      <c r="G829" t="s">
        <v>2084</v>
      </c>
      <c r="H829" t="s">
        <v>2094</v>
      </c>
      <c r="I829" t="s">
        <v>2097</v>
      </c>
      <c r="J829">
        <v>3669</v>
      </c>
      <c r="K829">
        <v>27.09</v>
      </c>
      <c r="L829">
        <v>2.8</v>
      </c>
      <c r="M829">
        <v>9.99</v>
      </c>
      <c r="N829">
        <v>5</v>
      </c>
      <c r="O829">
        <v>6</v>
      </c>
      <c r="P829">
        <v>299.70000000000005</v>
      </c>
      <c r="Q829">
        <v>8.33</v>
      </c>
      <c r="R829">
        <v>291.37</v>
      </c>
      <c r="AC829" s="1">
        <v>40327</v>
      </c>
    </row>
    <row r="830" spans="1:29" x14ac:dyDescent="0.25">
      <c r="A830" t="s">
        <v>152</v>
      </c>
      <c r="D830" t="s">
        <v>1161</v>
      </c>
      <c r="E830" t="s">
        <v>2044</v>
      </c>
      <c r="F830" t="s">
        <v>2077</v>
      </c>
      <c r="G830" t="s">
        <v>2084</v>
      </c>
      <c r="H830" t="s">
        <v>2093</v>
      </c>
      <c r="I830" t="s">
        <v>2097</v>
      </c>
      <c r="J830">
        <v>1724</v>
      </c>
      <c r="K830">
        <v>37.69</v>
      </c>
      <c r="L830">
        <v>2.7</v>
      </c>
      <c r="M830">
        <v>20.12</v>
      </c>
      <c r="N830">
        <v>4</v>
      </c>
      <c r="O830">
        <v>15</v>
      </c>
      <c r="P830">
        <v>1207.2</v>
      </c>
      <c r="Q830">
        <v>7.45</v>
      </c>
      <c r="R830">
        <v>1199.75</v>
      </c>
      <c r="AC830" s="1">
        <v>43176</v>
      </c>
    </row>
    <row r="831" spans="1:29" x14ac:dyDescent="0.25">
      <c r="A831" t="s">
        <v>274</v>
      </c>
      <c r="D831" t="s">
        <v>1059</v>
      </c>
      <c r="E831" t="s">
        <v>2065</v>
      </c>
      <c r="F831" t="s">
        <v>2080</v>
      </c>
      <c r="G831" t="s">
        <v>2084</v>
      </c>
      <c r="H831" t="s">
        <v>2092</v>
      </c>
      <c r="I831" t="s">
        <v>2104</v>
      </c>
      <c r="J831">
        <v>2348</v>
      </c>
      <c r="K831">
        <v>15.34</v>
      </c>
      <c r="L831">
        <v>2.1</v>
      </c>
      <c r="M831">
        <v>30.32</v>
      </c>
      <c r="N831">
        <v>5</v>
      </c>
      <c r="O831">
        <v>19</v>
      </c>
      <c r="P831">
        <v>2880.4</v>
      </c>
      <c r="Q831">
        <v>2.1800000000000002</v>
      </c>
      <c r="R831">
        <v>2878.22</v>
      </c>
      <c r="AC831" s="1">
        <v>40784</v>
      </c>
    </row>
    <row r="832" spans="1:29" x14ac:dyDescent="0.25">
      <c r="A832" t="s">
        <v>395</v>
      </c>
      <c r="D832" t="s">
        <v>1396</v>
      </c>
      <c r="E832" t="s">
        <v>2043</v>
      </c>
      <c r="F832" t="s">
        <v>2073</v>
      </c>
      <c r="G832" t="s">
        <v>2084</v>
      </c>
      <c r="H832" t="s">
        <v>2093</v>
      </c>
      <c r="I832" t="s">
        <v>2103</v>
      </c>
      <c r="J832">
        <v>1315</v>
      </c>
      <c r="K832">
        <v>40.86</v>
      </c>
      <c r="L832">
        <v>1.2</v>
      </c>
      <c r="M832">
        <v>15.6</v>
      </c>
      <c r="N832">
        <v>4</v>
      </c>
      <c r="O832">
        <v>13</v>
      </c>
      <c r="P832">
        <v>811.19999999999993</v>
      </c>
      <c r="Q832">
        <v>7.49</v>
      </c>
      <c r="R832">
        <v>803.71</v>
      </c>
      <c r="AC832" s="1">
        <v>41885</v>
      </c>
    </row>
    <row r="833" spans="1:29" x14ac:dyDescent="0.25">
      <c r="A833" t="s">
        <v>410</v>
      </c>
      <c r="D833" t="s">
        <v>1409</v>
      </c>
      <c r="E833" t="s">
        <v>2034</v>
      </c>
      <c r="F833" t="s">
        <v>2082</v>
      </c>
      <c r="G833" t="s">
        <v>2084</v>
      </c>
      <c r="H833" t="s">
        <v>2096</v>
      </c>
      <c r="I833" t="s">
        <v>2103</v>
      </c>
      <c r="J833">
        <v>626</v>
      </c>
      <c r="K833">
        <v>45.27</v>
      </c>
      <c r="L833">
        <v>2.2999999999999998</v>
      </c>
      <c r="M833">
        <v>26.52</v>
      </c>
      <c r="N833">
        <v>2</v>
      </c>
      <c r="O833">
        <v>6</v>
      </c>
      <c r="P833">
        <v>318.24</v>
      </c>
      <c r="Q833">
        <v>2.72</v>
      </c>
      <c r="R833">
        <v>315.52</v>
      </c>
      <c r="AC833" s="1">
        <v>40854</v>
      </c>
    </row>
    <row r="834" spans="1:29" x14ac:dyDescent="0.25">
      <c r="A834" t="s">
        <v>509</v>
      </c>
      <c r="D834" t="s">
        <v>1504</v>
      </c>
      <c r="E834" t="s">
        <v>2024</v>
      </c>
      <c r="F834" t="s">
        <v>2075</v>
      </c>
      <c r="G834" t="s">
        <v>2084</v>
      </c>
      <c r="H834" t="s">
        <v>2096</v>
      </c>
      <c r="I834" t="s">
        <v>2100</v>
      </c>
      <c r="J834">
        <v>1334</v>
      </c>
      <c r="K834">
        <v>19.12</v>
      </c>
      <c r="L834">
        <v>3.7</v>
      </c>
      <c r="M834">
        <v>7.5</v>
      </c>
      <c r="N834">
        <v>3</v>
      </c>
      <c r="O834">
        <v>6</v>
      </c>
      <c r="P834">
        <v>135</v>
      </c>
      <c r="Q834">
        <v>8.43</v>
      </c>
      <c r="R834">
        <v>126.57</v>
      </c>
      <c r="AC834" s="1">
        <v>40764</v>
      </c>
    </row>
    <row r="835" spans="1:29" x14ac:dyDescent="0.25">
      <c r="A835" t="s">
        <v>513</v>
      </c>
      <c r="D835" t="s">
        <v>1508</v>
      </c>
      <c r="E835" t="s">
        <v>2021</v>
      </c>
      <c r="F835" t="s">
        <v>2079</v>
      </c>
      <c r="G835" t="s">
        <v>2084</v>
      </c>
      <c r="H835" t="s">
        <v>2094</v>
      </c>
      <c r="I835" t="s">
        <v>2099</v>
      </c>
      <c r="J835">
        <v>1482</v>
      </c>
      <c r="K835">
        <v>49.43</v>
      </c>
      <c r="L835">
        <v>3.3</v>
      </c>
      <c r="M835">
        <v>31.51</v>
      </c>
      <c r="N835">
        <v>1</v>
      </c>
      <c r="O835">
        <v>19</v>
      </c>
      <c r="P835">
        <v>598.69000000000005</v>
      </c>
      <c r="Q835">
        <v>9.5399999999999991</v>
      </c>
      <c r="R835">
        <v>589.15</v>
      </c>
      <c r="AC835" s="1">
        <v>41680</v>
      </c>
    </row>
    <row r="836" spans="1:29" x14ac:dyDescent="0.25">
      <c r="A836" t="s">
        <v>563</v>
      </c>
      <c r="D836" t="s">
        <v>1553</v>
      </c>
      <c r="E836" t="s">
        <v>2039</v>
      </c>
      <c r="F836" t="s">
        <v>2081</v>
      </c>
      <c r="G836" t="s">
        <v>2084</v>
      </c>
      <c r="H836" t="s">
        <v>2093</v>
      </c>
      <c r="I836" t="s">
        <v>2100</v>
      </c>
      <c r="J836">
        <v>2764</v>
      </c>
      <c r="K836">
        <v>28.72</v>
      </c>
      <c r="L836">
        <v>2.7</v>
      </c>
      <c r="M836">
        <v>37.340000000000003</v>
      </c>
      <c r="N836">
        <v>3</v>
      </c>
      <c r="O836">
        <v>18</v>
      </c>
      <c r="P836">
        <v>2016.3600000000001</v>
      </c>
      <c r="Q836">
        <v>4.3099999999999996</v>
      </c>
      <c r="R836">
        <v>2012.05</v>
      </c>
      <c r="AC836" s="1">
        <v>43461</v>
      </c>
    </row>
    <row r="837" spans="1:29" x14ac:dyDescent="0.25">
      <c r="A837" t="s">
        <v>635</v>
      </c>
      <c r="D837" t="s">
        <v>1620</v>
      </c>
      <c r="E837" t="s">
        <v>2013</v>
      </c>
      <c r="F837" t="s">
        <v>2082</v>
      </c>
      <c r="G837" t="s">
        <v>2084</v>
      </c>
      <c r="H837" t="s">
        <v>2095</v>
      </c>
      <c r="I837" t="s">
        <v>2097</v>
      </c>
      <c r="J837">
        <v>4107</v>
      </c>
      <c r="K837">
        <v>13.5</v>
      </c>
      <c r="L837">
        <v>1.4</v>
      </c>
      <c r="M837">
        <v>17.489999999999998</v>
      </c>
      <c r="N837">
        <v>1</v>
      </c>
      <c r="O837">
        <v>10</v>
      </c>
      <c r="P837">
        <v>174.89999999999998</v>
      </c>
      <c r="Q837">
        <v>1.49</v>
      </c>
      <c r="R837">
        <v>173.41</v>
      </c>
      <c r="AC837" s="1">
        <v>42275</v>
      </c>
    </row>
    <row r="838" spans="1:29" x14ac:dyDescent="0.25">
      <c r="A838" t="s">
        <v>749</v>
      </c>
      <c r="D838" t="s">
        <v>1613</v>
      </c>
      <c r="E838" t="s">
        <v>2011</v>
      </c>
      <c r="F838" t="s">
        <v>2073</v>
      </c>
      <c r="G838" t="s">
        <v>2084</v>
      </c>
      <c r="H838" t="s">
        <v>2094</v>
      </c>
      <c r="I838" t="s">
        <v>2103</v>
      </c>
      <c r="J838">
        <v>3895</v>
      </c>
      <c r="K838">
        <v>13.49</v>
      </c>
      <c r="L838">
        <v>4.7</v>
      </c>
      <c r="M838">
        <v>15.65</v>
      </c>
      <c r="N838">
        <v>2</v>
      </c>
      <c r="O838">
        <v>6</v>
      </c>
      <c r="P838">
        <v>187.8</v>
      </c>
      <c r="Q838">
        <v>6.71</v>
      </c>
      <c r="R838">
        <v>181.09</v>
      </c>
      <c r="AC838" s="1">
        <v>40552</v>
      </c>
    </row>
    <row r="839" spans="1:29" x14ac:dyDescent="0.25">
      <c r="A839" t="s">
        <v>750</v>
      </c>
      <c r="D839" t="s">
        <v>1435</v>
      </c>
      <c r="E839" t="s">
        <v>2066</v>
      </c>
      <c r="F839" t="s">
        <v>2078</v>
      </c>
      <c r="G839" t="s">
        <v>2084</v>
      </c>
      <c r="H839" t="s">
        <v>2094</v>
      </c>
      <c r="I839" t="s">
        <v>2100</v>
      </c>
      <c r="J839">
        <v>593</v>
      </c>
      <c r="K839">
        <v>46.9</v>
      </c>
      <c r="L839">
        <v>4.5</v>
      </c>
      <c r="M839">
        <v>12.86</v>
      </c>
      <c r="N839">
        <v>2</v>
      </c>
      <c r="O839">
        <v>10</v>
      </c>
      <c r="P839">
        <v>257.2</v>
      </c>
      <c r="Q839">
        <v>3.97</v>
      </c>
      <c r="R839">
        <v>253.23</v>
      </c>
      <c r="AC839" s="1">
        <v>42337</v>
      </c>
    </row>
    <row r="840" spans="1:29" x14ac:dyDescent="0.25">
      <c r="A840" t="s">
        <v>758</v>
      </c>
      <c r="D840" t="s">
        <v>1734</v>
      </c>
      <c r="E840" t="s">
        <v>1975</v>
      </c>
      <c r="F840" t="s">
        <v>2081</v>
      </c>
      <c r="G840" t="s">
        <v>2084</v>
      </c>
      <c r="H840" t="s">
        <v>2095</v>
      </c>
      <c r="I840" t="s">
        <v>2106</v>
      </c>
      <c r="J840">
        <v>1561</v>
      </c>
      <c r="K840">
        <v>20.03</v>
      </c>
      <c r="L840">
        <v>1.1000000000000001</v>
      </c>
      <c r="M840">
        <v>27.22</v>
      </c>
      <c r="N840">
        <v>4</v>
      </c>
      <c r="O840">
        <v>7</v>
      </c>
      <c r="P840">
        <v>762.16</v>
      </c>
      <c r="Q840">
        <v>0.08</v>
      </c>
      <c r="R840">
        <v>762.08</v>
      </c>
      <c r="AC840" s="1">
        <v>40317</v>
      </c>
    </row>
    <row r="841" spans="1:29" x14ac:dyDescent="0.25">
      <c r="A841" t="s">
        <v>879</v>
      </c>
      <c r="D841" t="s">
        <v>1845</v>
      </c>
      <c r="E841" t="s">
        <v>1989</v>
      </c>
      <c r="F841" t="s">
        <v>2081</v>
      </c>
      <c r="G841" t="s">
        <v>2084</v>
      </c>
      <c r="H841" t="s">
        <v>2094</v>
      </c>
      <c r="I841" t="s">
        <v>2105</v>
      </c>
      <c r="J841">
        <v>3522</v>
      </c>
      <c r="K841">
        <v>29.66</v>
      </c>
      <c r="L841">
        <v>3.4</v>
      </c>
      <c r="M841">
        <v>5.76</v>
      </c>
      <c r="N841">
        <v>1</v>
      </c>
      <c r="O841">
        <v>15</v>
      </c>
      <c r="P841">
        <v>86.399999999999991</v>
      </c>
      <c r="Q841">
        <v>9.2100000000000009</v>
      </c>
      <c r="R841">
        <v>77.19</v>
      </c>
      <c r="AC841" s="1">
        <v>42684</v>
      </c>
    </row>
    <row r="842" spans="1:29" x14ac:dyDescent="0.25">
      <c r="A842" t="s">
        <v>891</v>
      </c>
      <c r="D842" t="s">
        <v>1856</v>
      </c>
      <c r="E842" t="s">
        <v>2032</v>
      </c>
      <c r="F842" t="s">
        <v>2082</v>
      </c>
      <c r="G842" t="s">
        <v>2084</v>
      </c>
      <c r="H842" t="s">
        <v>2094</v>
      </c>
      <c r="I842" t="s">
        <v>2098</v>
      </c>
      <c r="J842">
        <v>4487</v>
      </c>
      <c r="K842">
        <v>12.91</v>
      </c>
      <c r="L842">
        <v>1.3</v>
      </c>
      <c r="M842">
        <v>31.56</v>
      </c>
      <c r="N842">
        <v>1</v>
      </c>
      <c r="O842">
        <v>20</v>
      </c>
      <c r="P842">
        <v>631.19999999999993</v>
      </c>
      <c r="Q842">
        <v>9.98</v>
      </c>
      <c r="R842">
        <v>621.22</v>
      </c>
      <c r="AC842" s="1">
        <v>42231</v>
      </c>
    </row>
    <row r="843" spans="1:29" x14ac:dyDescent="0.25">
      <c r="A843" t="s">
        <v>933</v>
      </c>
      <c r="D843" t="s">
        <v>1898</v>
      </c>
      <c r="E843" t="s">
        <v>2041</v>
      </c>
      <c r="F843" t="s">
        <v>2080</v>
      </c>
      <c r="G843" t="s">
        <v>2084</v>
      </c>
      <c r="H843" t="s">
        <v>2095</v>
      </c>
      <c r="I843" t="s">
        <v>2105</v>
      </c>
      <c r="J843">
        <v>3757</v>
      </c>
      <c r="K843">
        <v>21.18</v>
      </c>
      <c r="L843">
        <v>4.3</v>
      </c>
      <c r="M843">
        <v>36.72</v>
      </c>
      <c r="N843">
        <v>4</v>
      </c>
      <c r="O843">
        <v>15</v>
      </c>
      <c r="P843">
        <v>2203.1999999999998</v>
      </c>
      <c r="Q843">
        <v>8.06</v>
      </c>
      <c r="R843">
        <v>2195.14</v>
      </c>
      <c r="AC843" s="1">
        <v>40746</v>
      </c>
    </row>
    <row r="844" spans="1:29" x14ac:dyDescent="0.25">
      <c r="A844" t="s">
        <v>144</v>
      </c>
      <c r="D844" t="s">
        <v>1153</v>
      </c>
      <c r="E844" t="s">
        <v>2042</v>
      </c>
      <c r="F844" t="s">
        <v>2079</v>
      </c>
      <c r="G844" t="s">
        <v>2090</v>
      </c>
      <c r="H844" t="s">
        <v>2095</v>
      </c>
      <c r="I844" t="s">
        <v>2104</v>
      </c>
      <c r="J844">
        <v>4563</v>
      </c>
      <c r="K844">
        <v>27.56</v>
      </c>
      <c r="L844">
        <v>3.4</v>
      </c>
      <c r="M844">
        <v>32.01</v>
      </c>
      <c r="N844">
        <v>4</v>
      </c>
      <c r="O844">
        <v>2</v>
      </c>
      <c r="P844">
        <v>256.08</v>
      </c>
      <c r="Q844">
        <v>7.75</v>
      </c>
      <c r="R844">
        <v>248.33</v>
      </c>
      <c r="AC844" s="1">
        <v>43328</v>
      </c>
    </row>
    <row r="845" spans="1:29" x14ac:dyDescent="0.25">
      <c r="A845" t="s">
        <v>198</v>
      </c>
      <c r="D845" t="s">
        <v>1207</v>
      </c>
      <c r="E845" t="s">
        <v>2037</v>
      </c>
      <c r="F845" t="s">
        <v>2081</v>
      </c>
      <c r="G845" t="s">
        <v>2090</v>
      </c>
      <c r="H845" t="s">
        <v>2096</v>
      </c>
      <c r="I845" t="s">
        <v>2109</v>
      </c>
      <c r="J845">
        <v>4031</v>
      </c>
      <c r="K845">
        <v>15.69</v>
      </c>
      <c r="L845">
        <v>2.5</v>
      </c>
      <c r="M845">
        <v>34.450000000000003</v>
      </c>
      <c r="N845">
        <v>5</v>
      </c>
      <c r="O845">
        <v>18</v>
      </c>
      <c r="P845">
        <v>3100.5</v>
      </c>
      <c r="Q845">
        <v>2.68</v>
      </c>
      <c r="R845">
        <v>3097.82</v>
      </c>
      <c r="AC845" s="1">
        <v>42725</v>
      </c>
    </row>
    <row r="846" spans="1:29" x14ac:dyDescent="0.25">
      <c r="A846" t="s">
        <v>364</v>
      </c>
      <c r="D846" t="s">
        <v>1366</v>
      </c>
      <c r="E846" t="s">
        <v>2028</v>
      </c>
      <c r="F846" t="s">
        <v>2082</v>
      </c>
      <c r="G846" t="s">
        <v>2090</v>
      </c>
      <c r="H846" t="s">
        <v>2093</v>
      </c>
      <c r="I846" t="s">
        <v>2104</v>
      </c>
      <c r="J846">
        <v>3671</v>
      </c>
      <c r="K846">
        <v>23.04</v>
      </c>
      <c r="L846">
        <v>2.5</v>
      </c>
      <c r="M846">
        <v>39.979999999999997</v>
      </c>
      <c r="N846">
        <v>1</v>
      </c>
      <c r="O846">
        <v>5</v>
      </c>
      <c r="P846">
        <v>199.89999999999998</v>
      </c>
      <c r="Q846">
        <v>5.23</v>
      </c>
      <c r="R846">
        <v>194.67</v>
      </c>
      <c r="AC846" s="1">
        <v>43454</v>
      </c>
    </row>
    <row r="847" spans="1:29" x14ac:dyDescent="0.25">
      <c r="A847" t="s">
        <v>384</v>
      </c>
      <c r="D847" t="s">
        <v>1385</v>
      </c>
      <c r="E847" t="s">
        <v>2001</v>
      </c>
      <c r="F847" t="s">
        <v>2073</v>
      </c>
      <c r="G847" t="s">
        <v>2090</v>
      </c>
      <c r="H847" t="s">
        <v>2093</v>
      </c>
      <c r="I847" t="s">
        <v>2106</v>
      </c>
      <c r="J847">
        <v>354</v>
      </c>
      <c r="K847">
        <v>39.450000000000003</v>
      </c>
      <c r="L847">
        <v>2.2999999999999998</v>
      </c>
      <c r="M847">
        <v>6.73</v>
      </c>
      <c r="N847">
        <v>3</v>
      </c>
      <c r="O847">
        <v>3</v>
      </c>
      <c r="P847">
        <v>60.570000000000007</v>
      </c>
      <c r="Q847">
        <v>0.93</v>
      </c>
      <c r="R847">
        <v>59.64</v>
      </c>
      <c r="AC847" s="1">
        <v>42398</v>
      </c>
    </row>
    <row r="848" spans="1:29" x14ac:dyDescent="0.25">
      <c r="A848" t="s">
        <v>685</v>
      </c>
      <c r="D848" t="s">
        <v>1667</v>
      </c>
      <c r="E848" t="s">
        <v>2054</v>
      </c>
      <c r="F848" t="s">
        <v>2073</v>
      </c>
      <c r="G848" t="s">
        <v>2090</v>
      </c>
      <c r="H848" t="s">
        <v>2096</v>
      </c>
      <c r="I848" t="s">
        <v>2111</v>
      </c>
      <c r="J848">
        <v>2666</v>
      </c>
      <c r="K848">
        <v>25.33</v>
      </c>
      <c r="L848">
        <v>3.6</v>
      </c>
      <c r="M848">
        <v>14.2</v>
      </c>
      <c r="N848">
        <v>3</v>
      </c>
      <c r="O848">
        <v>13</v>
      </c>
      <c r="P848">
        <v>553.79999999999995</v>
      </c>
      <c r="Q848">
        <v>7.17</v>
      </c>
      <c r="R848">
        <v>546.63</v>
      </c>
      <c r="AC848" s="1">
        <v>41631</v>
      </c>
    </row>
    <row r="849" spans="1:29" x14ac:dyDescent="0.25">
      <c r="A849" t="s">
        <v>898</v>
      </c>
      <c r="D849" t="s">
        <v>1863</v>
      </c>
      <c r="E849" t="s">
        <v>2060</v>
      </c>
      <c r="F849" t="s">
        <v>2076</v>
      </c>
      <c r="G849" t="s">
        <v>2090</v>
      </c>
      <c r="H849" t="s">
        <v>2096</v>
      </c>
      <c r="I849" t="s">
        <v>2097</v>
      </c>
      <c r="J849">
        <v>2026</v>
      </c>
      <c r="K849">
        <v>13.76</v>
      </c>
      <c r="L849">
        <v>3.5</v>
      </c>
      <c r="M849">
        <v>8.0299999999999994</v>
      </c>
      <c r="N849">
        <v>1</v>
      </c>
      <c r="O849">
        <v>11</v>
      </c>
      <c r="P849">
        <v>88.33</v>
      </c>
      <c r="Q849">
        <v>0.68</v>
      </c>
      <c r="R849">
        <v>87.65</v>
      </c>
      <c r="AC849" s="1">
        <v>40432</v>
      </c>
    </row>
    <row r="850" spans="1:29" x14ac:dyDescent="0.25">
      <c r="A850" t="s">
        <v>945</v>
      </c>
      <c r="D850" t="s">
        <v>1908</v>
      </c>
      <c r="E850" t="s">
        <v>2045</v>
      </c>
      <c r="F850" t="s">
        <v>2082</v>
      </c>
      <c r="G850" t="s">
        <v>2090</v>
      </c>
      <c r="H850" t="s">
        <v>2095</v>
      </c>
      <c r="I850" t="s">
        <v>2101</v>
      </c>
      <c r="J850">
        <v>789</v>
      </c>
      <c r="K850">
        <v>39.64</v>
      </c>
      <c r="L850">
        <v>2.8</v>
      </c>
      <c r="M850">
        <v>24.28</v>
      </c>
      <c r="N850">
        <v>4</v>
      </c>
      <c r="O850">
        <v>10</v>
      </c>
      <c r="P850">
        <v>971.2</v>
      </c>
      <c r="Q850">
        <v>2.38</v>
      </c>
      <c r="R850">
        <v>968.82</v>
      </c>
      <c r="AC850" s="1">
        <v>42410</v>
      </c>
    </row>
    <row r="851" spans="1:29" x14ac:dyDescent="0.25">
      <c r="A851" t="s">
        <v>993</v>
      </c>
      <c r="D851" t="s">
        <v>1951</v>
      </c>
      <c r="E851" t="s">
        <v>2067</v>
      </c>
      <c r="F851" t="s">
        <v>2079</v>
      </c>
      <c r="G851" t="s">
        <v>2090</v>
      </c>
      <c r="H851" t="s">
        <v>2093</v>
      </c>
      <c r="I851" t="s">
        <v>2099</v>
      </c>
      <c r="J851">
        <v>4205</v>
      </c>
      <c r="K851">
        <v>28.76</v>
      </c>
      <c r="L851">
        <v>1.2</v>
      </c>
      <c r="M851">
        <v>26.46</v>
      </c>
      <c r="N851">
        <v>5</v>
      </c>
      <c r="O851">
        <v>19</v>
      </c>
      <c r="P851">
        <v>2513.7000000000003</v>
      </c>
      <c r="Q851">
        <v>3.32</v>
      </c>
      <c r="R851">
        <v>2510.38</v>
      </c>
      <c r="AC851" s="1">
        <v>42957</v>
      </c>
    </row>
    <row r="852" spans="1:29" x14ac:dyDescent="0.25">
      <c r="A852" t="s">
        <v>1001</v>
      </c>
      <c r="D852" t="s">
        <v>1959</v>
      </c>
      <c r="E852" t="s">
        <v>2003</v>
      </c>
      <c r="F852" t="s">
        <v>2081</v>
      </c>
      <c r="G852" t="s">
        <v>2090</v>
      </c>
      <c r="H852" t="s">
        <v>2096</v>
      </c>
      <c r="I852" t="s">
        <v>2102</v>
      </c>
      <c r="J852">
        <v>1149</v>
      </c>
      <c r="K852">
        <v>14.35</v>
      </c>
      <c r="L852">
        <v>4.5999999999999996</v>
      </c>
      <c r="M852">
        <v>17.79</v>
      </c>
      <c r="N852">
        <v>3</v>
      </c>
      <c r="O852">
        <v>13</v>
      </c>
      <c r="P852">
        <v>693.81</v>
      </c>
      <c r="Q852">
        <v>4.93</v>
      </c>
      <c r="R852">
        <v>688.88</v>
      </c>
      <c r="AC852" s="1">
        <v>41686</v>
      </c>
    </row>
    <row r="853" spans="1:29" x14ac:dyDescent="0.25">
      <c r="A853" t="s">
        <v>1009</v>
      </c>
      <c r="D853" t="s">
        <v>1966</v>
      </c>
      <c r="E853" t="s">
        <v>2067</v>
      </c>
      <c r="F853" t="s">
        <v>2078</v>
      </c>
      <c r="G853" t="s">
        <v>2090</v>
      </c>
      <c r="H853" t="s">
        <v>2093</v>
      </c>
      <c r="I853" t="s">
        <v>2102</v>
      </c>
      <c r="J853">
        <v>3101</v>
      </c>
      <c r="K853">
        <v>41.18</v>
      </c>
      <c r="L853">
        <v>1.8</v>
      </c>
      <c r="M853">
        <v>10.9</v>
      </c>
      <c r="N853">
        <v>3</v>
      </c>
      <c r="O853">
        <v>13</v>
      </c>
      <c r="P853">
        <v>425.1</v>
      </c>
      <c r="Q853">
        <v>0.12</v>
      </c>
      <c r="R853">
        <v>424.98</v>
      </c>
      <c r="AC853" s="1">
        <v>42962</v>
      </c>
    </row>
    <row r="854" spans="1:29" x14ac:dyDescent="0.25">
      <c r="A854" t="s">
        <v>129</v>
      </c>
      <c r="D854" t="s">
        <v>1139</v>
      </c>
      <c r="E854" t="s">
        <v>2001</v>
      </c>
      <c r="F854" t="s">
        <v>2076</v>
      </c>
      <c r="G854" t="s">
        <v>2083</v>
      </c>
      <c r="H854" t="s">
        <v>2093</v>
      </c>
      <c r="I854" t="s">
        <v>2098</v>
      </c>
      <c r="J854">
        <v>1977</v>
      </c>
      <c r="K854">
        <v>32.549999999999997</v>
      </c>
      <c r="L854">
        <v>4.7</v>
      </c>
      <c r="M854">
        <v>22.1</v>
      </c>
      <c r="N854">
        <v>1</v>
      </c>
      <c r="O854">
        <v>16</v>
      </c>
      <c r="P854">
        <v>353.6</v>
      </c>
      <c r="Q854">
        <v>3.69</v>
      </c>
      <c r="R854">
        <v>349.91</v>
      </c>
      <c r="AC854" s="1">
        <v>41283</v>
      </c>
    </row>
    <row r="855" spans="1:29" x14ac:dyDescent="0.25">
      <c r="A855" t="s">
        <v>131</v>
      </c>
      <c r="D855" t="s">
        <v>1141</v>
      </c>
      <c r="E855" t="s">
        <v>2037</v>
      </c>
      <c r="F855" t="s">
        <v>2078</v>
      </c>
      <c r="G855" t="s">
        <v>2083</v>
      </c>
      <c r="H855" t="s">
        <v>2093</v>
      </c>
      <c r="I855" t="s">
        <v>2109</v>
      </c>
      <c r="J855">
        <v>198</v>
      </c>
      <c r="K855">
        <v>28.24</v>
      </c>
      <c r="L855">
        <v>1.3</v>
      </c>
      <c r="M855">
        <v>23.53</v>
      </c>
      <c r="N855">
        <v>2</v>
      </c>
      <c r="O855">
        <v>14</v>
      </c>
      <c r="P855">
        <v>658.84</v>
      </c>
      <c r="Q855">
        <v>0.27</v>
      </c>
      <c r="R855">
        <v>658.57</v>
      </c>
      <c r="AC855" s="1">
        <v>42105</v>
      </c>
    </row>
    <row r="856" spans="1:29" x14ac:dyDescent="0.25">
      <c r="A856" t="s">
        <v>209</v>
      </c>
      <c r="D856" t="s">
        <v>1218</v>
      </c>
      <c r="E856" t="s">
        <v>2020</v>
      </c>
      <c r="F856" t="s">
        <v>2076</v>
      </c>
      <c r="G856" t="s">
        <v>2083</v>
      </c>
      <c r="H856" t="s">
        <v>2095</v>
      </c>
      <c r="I856" t="s">
        <v>2108</v>
      </c>
      <c r="J856">
        <v>293</v>
      </c>
      <c r="K856">
        <v>49.61</v>
      </c>
      <c r="L856">
        <v>3.3</v>
      </c>
      <c r="M856">
        <v>14.16</v>
      </c>
      <c r="N856">
        <v>1</v>
      </c>
      <c r="O856">
        <v>9</v>
      </c>
      <c r="P856">
        <v>127.44</v>
      </c>
      <c r="Q856">
        <v>0.95</v>
      </c>
      <c r="R856">
        <v>126.49</v>
      </c>
      <c r="AC856" s="1">
        <v>42945</v>
      </c>
    </row>
    <row r="857" spans="1:29" x14ac:dyDescent="0.25">
      <c r="A857" t="s">
        <v>451</v>
      </c>
      <c r="D857" t="s">
        <v>1449</v>
      </c>
      <c r="E857" t="s">
        <v>2040</v>
      </c>
      <c r="F857" t="s">
        <v>2082</v>
      </c>
      <c r="G857" t="s">
        <v>2083</v>
      </c>
      <c r="H857" t="s">
        <v>2095</v>
      </c>
      <c r="I857" t="s">
        <v>2099</v>
      </c>
      <c r="J857">
        <v>3407</v>
      </c>
      <c r="K857">
        <v>39.15</v>
      </c>
      <c r="L857">
        <v>4.9000000000000004</v>
      </c>
      <c r="M857">
        <v>35.03</v>
      </c>
      <c r="N857">
        <v>2</v>
      </c>
      <c r="O857">
        <v>20</v>
      </c>
      <c r="P857">
        <v>1401.2</v>
      </c>
      <c r="Q857">
        <v>5.09</v>
      </c>
      <c r="R857">
        <v>1396.11</v>
      </c>
      <c r="AC857" s="1">
        <v>40646</v>
      </c>
    </row>
    <row r="858" spans="1:29" x14ac:dyDescent="0.25">
      <c r="A858" t="s">
        <v>550</v>
      </c>
      <c r="D858" t="s">
        <v>1544</v>
      </c>
      <c r="E858" t="s">
        <v>2066</v>
      </c>
      <c r="F858" t="s">
        <v>2080</v>
      </c>
      <c r="G858" t="s">
        <v>2083</v>
      </c>
      <c r="H858" t="s">
        <v>2096</v>
      </c>
      <c r="I858" t="s">
        <v>2109</v>
      </c>
      <c r="J858">
        <v>4836</v>
      </c>
      <c r="K858">
        <v>22.54</v>
      </c>
      <c r="L858">
        <v>4.5</v>
      </c>
      <c r="M858">
        <v>31.24</v>
      </c>
      <c r="N858">
        <v>1</v>
      </c>
      <c r="O858">
        <v>18</v>
      </c>
      <c r="P858">
        <v>562.31999999999994</v>
      </c>
      <c r="Q858">
        <v>0.92</v>
      </c>
      <c r="R858">
        <v>561.4</v>
      </c>
      <c r="AC858" s="1">
        <v>42549</v>
      </c>
    </row>
    <row r="859" spans="1:29" x14ac:dyDescent="0.25">
      <c r="A859" t="s">
        <v>620</v>
      </c>
      <c r="D859" t="s">
        <v>1605</v>
      </c>
      <c r="E859" t="s">
        <v>2019</v>
      </c>
      <c r="F859" t="s">
        <v>2080</v>
      </c>
      <c r="G859" t="s">
        <v>2083</v>
      </c>
      <c r="H859" t="s">
        <v>2094</v>
      </c>
      <c r="I859" t="s">
        <v>2110</v>
      </c>
      <c r="J859">
        <v>1413</v>
      </c>
      <c r="K859">
        <v>8.25</v>
      </c>
      <c r="L859">
        <v>1</v>
      </c>
      <c r="M859">
        <v>7.28</v>
      </c>
      <c r="N859">
        <v>5</v>
      </c>
      <c r="O859">
        <v>12</v>
      </c>
      <c r="P859">
        <v>436.79999999999995</v>
      </c>
      <c r="Q859">
        <v>0.84</v>
      </c>
      <c r="R859">
        <v>435.96</v>
      </c>
      <c r="AC859" s="1">
        <v>42885</v>
      </c>
    </row>
    <row r="860" spans="1:29" x14ac:dyDescent="0.25">
      <c r="A860" t="s">
        <v>655</v>
      </c>
      <c r="D860" t="s">
        <v>1639</v>
      </c>
      <c r="E860" t="s">
        <v>1993</v>
      </c>
      <c r="F860" t="s">
        <v>2076</v>
      </c>
      <c r="G860" t="s">
        <v>2083</v>
      </c>
      <c r="H860" t="s">
        <v>2092</v>
      </c>
      <c r="I860" t="s">
        <v>2098</v>
      </c>
      <c r="J860">
        <v>1952</v>
      </c>
      <c r="K860">
        <v>10.3</v>
      </c>
      <c r="L860">
        <v>3.7</v>
      </c>
      <c r="M860">
        <v>7.29</v>
      </c>
      <c r="N860">
        <v>4</v>
      </c>
      <c r="O860">
        <v>17</v>
      </c>
      <c r="P860">
        <v>495.72</v>
      </c>
      <c r="Q860">
        <v>4.66</v>
      </c>
      <c r="R860">
        <v>491.06</v>
      </c>
      <c r="AC860" s="1">
        <v>43140</v>
      </c>
    </row>
    <row r="861" spans="1:29" x14ac:dyDescent="0.25">
      <c r="A861" t="s">
        <v>665</v>
      </c>
      <c r="D861" t="s">
        <v>1649</v>
      </c>
      <c r="E861" t="s">
        <v>2053</v>
      </c>
      <c r="F861" t="s">
        <v>2080</v>
      </c>
      <c r="G861" t="s">
        <v>2083</v>
      </c>
      <c r="H861" t="s">
        <v>2093</v>
      </c>
      <c r="I861" t="s">
        <v>2105</v>
      </c>
      <c r="J861">
        <v>2288</v>
      </c>
      <c r="K861">
        <v>45.68</v>
      </c>
      <c r="L861">
        <v>3.8</v>
      </c>
      <c r="M861">
        <v>17.850000000000001</v>
      </c>
      <c r="N861">
        <v>4</v>
      </c>
      <c r="O861">
        <v>12</v>
      </c>
      <c r="P861">
        <v>856.80000000000007</v>
      </c>
      <c r="Q861">
        <v>5.78</v>
      </c>
      <c r="R861">
        <v>851.02</v>
      </c>
      <c r="AC861" s="1">
        <v>43360</v>
      </c>
    </row>
    <row r="862" spans="1:29" x14ac:dyDescent="0.25">
      <c r="A862" t="s">
        <v>706</v>
      </c>
      <c r="D862" t="s">
        <v>1685</v>
      </c>
      <c r="E862" t="s">
        <v>2041</v>
      </c>
      <c r="F862" t="s">
        <v>2076</v>
      </c>
      <c r="G862" t="s">
        <v>2083</v>
      </c>
      <c r="H862" t="s">
        <v>2095</v>
      </c>
      <c r="I862" t="s">
        <v>2102</v>
      </c>
      <c r="J862">
        <v>1051</v>
      </c>
      <c r="K862">
        <v>46.24</v>
      </c>
      <c r="L862">
        <v>2.4</v>
      </c>
      <c r="M862">
        <v>36.020000000000003</v>
      </c>
      <c r="N862">
        <v>5</v>
      </c>
      <c r="O862">
        <v>8</v>
      </c>
      <c r="P862">
        <v>1440.8000000000002</v>
      </c>
      <c r="Q862">
        <v>9.4</v>
      </c>
      <c r="R862">
        <v>1431.4</v>
      </c>
      <c r="AC862" s="1">
        <v>42469</v>
      </c>
    </row>
    <row r="863" spans="1:29" x14ac:dyDescent="0.25">
      <c r="A863" t="s">
        <v>867</v>
      </c>
      <c r="D863" t="s">
        <v>1834</v>
      </c>
      <c r="E863" t="s">
        <v>2036</v>
      </c>
      <c r="F863" t="s">
        <v>2076</v>
      </c>
      <c r="G863" t="s">
        <v>2083</v>
      </c>
      <c r="H863" t="s">
        <v>2093</v>
      </c>
      <c r="I863" t="s">
        <v>2097</v>
      </c>
      <c r="J863">
        <v>158</v>
      </c>
      <c r="K863">
        <v>31.24</v>
      </c>
      <c r="L863">
        <v>2.2999999999999998</v>
      </c>
      <c r="M863">
        <v>27.67</v>
      </c>
      <c r="N863">
        <v>3</v>
      </c>
      <c r="O863">
        <v>2</v>
      </c>
      <c r="P863">
        <v>166.02</v>
      </c>
      <c r="Q863">
        <v>3.51</v>
      </c>
      <c r="R863">
        <v>162.51</v>
      </c>
      <c r="AC863" s="1">
        <v>40727</v>
      </c>
    </row>
    <row r="864" spans="1:29" x14ac:dyDescent="0.25">
      <c r="A864" t="s">
        <v>906</v>
      </c>
      <c r="D864" t="s">
        <v>1871</v>
      </c>
      <c r="E864" t="s">
        <v>2046</v>
      </c>
      <c r="F864" t="s">
        <v>2079</v>
      </c>
      <c r="G864" t="s">
        <v>2083</v>
      </c>
      <c r="H864" t="s">
        <v>2094</v>
      </c>
      <c r="I864" t="s">
        <v>2105</v>
      </c>
      <c r="J864">
        <v>1739</v>
      </c>
      <c r="K864">
        <v>28.42</v>
      </c>
      <c r="L864">
        <v>2</v>
      </c>
      <c r="M864">
        <v>8.99</v>
      </c>
      <c r="N864">
        <v>5</v>
      </c>
      <c r="O864">
        <v>19</v>
      </c>
      <c r="P864">
        <v>854.05000000000007</v>
      </c>
      <c r="Q864">
        <v>7.67</v>
      </c>
      <c r="R864">
        <v>846.38</v>
      </c>
      <c r="AC864" s="1">
        <v>41431</v>
      </c>
    </row>
    <row r="865" spans="1:29" x14ac:dyDescent="0.25">
      <c r="A865" t="s">
        <v>56</v>
      </c>
      <c r="D865" t="s">
        <v>1066</v>
      </c>
      <c r="E865" t="s">
        <v>2004</v>
      </c>
      <c r="F865" t="s">
        <v>2077</v>
      </c>
      <c r="G865" t="s">
        <v>2087</v>
      </c>
      <c r="H865" t="s">
        <v>2096</v>
      </c>
      <c r="I865" t="s">
        <v>2099</v>
      </c>
      <c r="J865">
        <v>3555</v>
      </c>
      <c r="K865">
        <v>49.93</v>
      </c>
      <c r="L865">
        <v>2.6</v>
      </c>
      <c r="M865">
        <v>36.44</v>
      </c>
      <c r="N865">
        <v>2</v>
      </c>
      <c r="O865">
        <v>6</v>
      </c>
      <c r="P865">
        <v>437.28</v>
      </c>
      <c r="Q865">
        <v>7.71</v>
      </c>
      <c r="R865">
        <v>429.57</v>
      </c>
      <c r="AC865" s="1">
        <v>41398</v>
      </c>
    </row>
    <row r="866" spans="1:29" x14ac:dyDescent="0.25">
      <c r="A866" t="s">
        <v>68</v>
      </c>
      <c r="D866" t="s">
        <v>1078</v>
      </c>
      <c r="E866" t="s">
        <v>2011</v>
      </c>
      <c r="F866" t="s">
        <v>2074</v>
      </c>
      <c r="G866" t="s">
        <v>2087</v>
      </c>
      <c r="H866" t="s">
        <v>2096</v>
      </c>
      <c r="I866" t="s">
        <v>2102</v>
      </c>
      <c r="J866">
        <v>1616</v>
      </c>
      <c r="K866">
        <v>26.7</v>
      </c>
      <c r="L866">
        <v>2.1</v>
      </c>
      <c r="M866">
        <v>9.08</v>
      </c>
      <c r="N866">
        <v>5</v>
      </c>
      <c r="O866">
        <v>6</v>
      </c>
      <c r="P866">
        <v>272.39999999999998</v>
      </c>
      <c r="Q866">
        <v>2.5299999999999998</v>
      </c>
      <c r="R866">
        <v>269.87</v>
      </c>
      <c r="AC866" s="1">
        <v>41965</v>
      </c>
    </row>
    <row r="867" spans="1:29" x14ac:dyDescent="0.25">
      <c r="A867" t="s">
        <v>139</v>
      </c>
      <c r="D867" t="s">
        <v>1148</v>
      </c>
      <c r="E867" t="s">
        <v>2040</v>
      </c>
      <c r="F867" t="s">
        <v>2081</v>
      </c>
      <c r="G867" t="s">
        <v>2087</v>
      </c>
      <c r="H867" t="s">
        <v>2095</v>
      </c>
      <c r="I867" t="s">
        <v>2101</v>
      </c>
      <c r="J867">
        <v>1372</v>
      </c>
      <c r="K867">
        <v>47.75</v>
      </c>
      <c r="L867">
        <v>2</v>
      </c>
      <c r="M867">
        <v>24.3</v>
      </c>
      <c r="N867">
        <v>4</v>
      </c>
      <c r="O867">
        <v>6</v>
      </c>
      <c r="P867">
        <v>583.20000000000005</v>
      </c>
      <c r="Q867">
        <v>0.98</v>
      </c>
      <c r="R867">
        <v>582.22</v>
      </c>
      <c r="AC867" s="1">
        <v>43288</v>
      </c>
    </row>
    <row r="868" spans="1:29" x14ac:dyDescent="0.25">
      <c r="A868" t="s">
        <v>268</v>
      </c>
      <c r="D868" t="s">
        <v>1274</v>
      </c>
      <c r="E868" t="s">
        <v>2046</v>
      </c>
      <c r="F868" t="s">
        <v>2074</v>
      </c>
      <c r="G868" t="s">
        <v>2087</v>
      </c>
      <c r="H868" t="s">
        <v>2096</v>
      </c>
      <c r="I868" t="s">
        <v>2111</v>
      </c>
      <c r="J868">
        <v>4987</v>
      </c>
      <c r="K868">
        <v>27.22</v>
      </c>
      <c r="L868">
        <v>2.6</v>
      </c>
      <c r="M868">
        <v>10.85</v>
      </c>
      <c r="N868">
        <v>4</v>
      </c>
      <c r="O868">
        <v>4</v>
      </c>
      <c r="P868">
        <v>173.6</v>
      </c>
      <c r="Q868">
        <v>9.9</v>
      </c>
      <c r="R868">
        <v>163.69999999999999</v>
      </c>
      <c r="AC868" s="1">
        <v>40362</v>
      </c>
    </row>
    <row r="869" spans="1:29" x14ac:dyDescent="0.25">
      <c r="A869" t="s">
        <v>275</v>
      </c>
      <c r="D869" t="s">
        <v>1280</v>
      </c>
      <c r="E869" t="s">
        <v>2036</v>
      </c>
      <c r="F869" t="s">
        <v>2076</v>
      </c>
      <c r="G869" t="s">
        <v>2087</v>
      </c>
      <c r="H869" t="s">
        <v>2096</v>
      </c>
      <c r="I869" t="s">
        <v>2103</v>
      </c>
      <c r="J869">
        <v>3583</v>
      </c>
      <c r="K869">
        <v>25.74</v>
      </c>
      <c r="L869">
        <v>1.5</v>
      </c>
      <c r="M869">
        <v>34.35</v>
      </c>
      <c r="N869">
        <v>4</v>
      </c>
      <c r="O869">
        <v>15</v>
      </c>
      <c r="P869">
        <v>2061</v>
      </c>
      <c r="Q869">
        <v>6.98</v>
      </c>
      <c r="R869">
        <v>2054.02</v>
      </c>
      <c r="AC869" s="1">
        <v>41286</v>
      </c>
    </row>
    <row r="870" spans="1:29" x14ac:dyDescent="0.25">
      <c r="A870" t="s">
        <v>306</v>
      </c>
      <c r="D870" t="s">
        <v>1310</v>
      </c>
      <c r="E870" t="s">
        <v>2001</v>
      </c>
      <c r="F870" t="s">
        <v>2079</v>
      </c>
      <c r="G870" t="s">
        <v>2087</v>
      </c>
      <c r="H870" t="s">
        <v>2094</v>
      </c>
      <c r="I870" t="s">
        <v>2102</v>
      </c>
      <c r="J870">
        <v>3790</v>
      </c>
      <c r="K870">
        <v>32.26</v>
      </c>
      <c r="L870">
        <v>1.3</v>
      </c>
      <c r="M870">
        <v>18.079999999999998</v>
      </c>
      <c r="N870">
        <v>5</v>
      </c>
      <c r="O870">
        <v>8</v>
      </c>
      <c r="P870">
        <v>723.19999999999993</v>
      </c>
      <c r="Q870">
        <v>6.39</v>
      </c>
      <c r="R870">
        <v>716.81</v>
      </c>
      <c r="AC870" s="1">
        <v>43331</v>
      </c>
    </row>
    <row r="871" spans="1:29" x14ac:dyDescent="0.25">
      <c r="A871" t="s">
        <v>337</v>
      </c>
      <c r="D871" t="s">
        <v>1340</v>
      </c>
      <c r="E871" t="s">
        <v>2046</v>
      </c>
      <c r="F871" t="s">
        <v>2080</v>
      </c>
      <c r="G871" t="s">
        <v>2087</v>
      </c>
      <c r="H871" t="s">
        <v>2095</v>
      </c>
      <c r="I871" t="s">
        <v>2102</v>
      </c>
      <c r="J871">
        <v>3675</v>
      </c>
      <c r="K871">
        <v>48.07</v>
      </c>
      <c r="L871">
        <v>1.5</v>
      </c>
      <c r="M871">
        <v>32.21</v>
      </c>
      <c r="N871">
        <v>2</v>
      </c>
      <c r="O871">
        <v>7</v>
      </c>
      <c r="P871">
        <v>450.94</v>
      </c>
      <c r="Q871">
        <v>5.83</v>
      </c>
      <c r="R871">
        <v>445.11</v>
      </c>
      <c r="AC871" s="1">
        <v>42188</v>
      </c>
    </row>
    <row r="872" spans="1:29" x14ac:dyDescent="0.25">
      <c r="A872" t="s">
        <v>374</v>
      </c>
      <c r="D872" t="s">
        <v>1376</v>
      </c>
      <c r="E872" t="s">
        <v>2021</v>
      </c>
      <c r="F872" t="s">
        <v>2076</v>
      </c>
      <c r="G872" t="s">
        <v>2087</v>
      </c>
      <c r="H872" t="s">
        <v>2096</v>
      </c>
      <c r="I872" t="s">
        <v>2098</v>
      </c>
      <c r="J872">
        <v>1120</v>
      </c>
      <c r="K872">
        <v>17.11</v>
      </c>
      <c r="L872">
        <v>1.9</v>
      </c>
      <c r="M872">
        <v>36.409999999999997</v>
      </c>
      <c r="N872">
        <v>3</v>
      </c>
      <c r="O872">
        <v>18</v>
      </c>
      <c r="P872">
        <v>1966.1399999999999</v>
      </c>
      <c r="Q872">
        <v>1.1599999999999999</v>
      </c>
      <c r="R872">
        <v>1964.98</v>
      </c>
      <c r="AC872" s="1">
        <v>40888</v>
      </c>
    </row>
    <row r="873" spans="1:29" x14ac:dyDescent="0.25">
      <c r="A873" t="s">
        <v>377</v>
      </c>
      <c r="D873" t="s">
        <v>1378</v>
      </c>
      <c r="E873" t="s">
        <v>2029</v>
      </c>
      <c r="F873" t="s">
        <v>2079</v>
      </c>
      <c r="G873" t="s">
        <v>2087</v>
      </c>
      <c r="H873" t="s">
        <v>2093</v>
      </c>
      <c r="I873" t="s">
        <v>2111</v>
      </c>
      <c r="J873">
        <v>143</v>
      </c>
      <c r="K873">
        <v>35.270000000000003</v>
      </c>
      <c r="L873">
        <v>1.6</v>
      </c>
      <c r="M873">
        <v>13.58</v>
      </c>
      <c r="N873">
        <v>4</v>
      </c>
      <c r="O873">
        <v>11</v>
      </c>
      <c r="P873">
        <v>597.52</v>
      </c>
      <c r="Q873">
        <v>3.6</v>
      </c>
      <c r="R873">
        <v>593.91999999999996</v>
      </c>
      <c r="AC873" s="1">
        <v>40979</v>
      </c>
    </row>
    <row r="874" spans="1:29" x14ac:dyDescent="0.25">
      <c r="A874" t="s">
        <v>877</v>
      </c>
      <c r="D874" t="s">
        <v>1843</v>
      </c>
      <c r="E874" t="s">
        <v>2067</v>
      </c>
      <c r="F874" t="s">
        <v>2076</v>
      </c>
      <c r="G874" t="s">
        <v>2087</v>
      </c>
      <c r="H874" t="s">
        <v>2096</v>
      </c>
      <c r="I874" t="s">
        <v>2097</v>
      </c>
      <c r="J874">
        <v>2950</v>
      </c>
      <c r="K874">
        <v>12.37</v>
      </c>
      <c r="L874">
        <v>2.7</v>
      </c>
      <c r="M874">
        <v>25.43</v>
      </c>
      <c r="N874">
        <v>2</v>
      </c>
      <c r="O874">
        <v>19</v>
      </c>
      <c r="P874">
        <v>966.34</v>
      </c>
      <c r="Q874">
        <v>1.55</v>
      </c>
      <c r="R874">
        <v>964.79</v>
      </c>
      <c r="AC874" s="1">
        <v>43208</v>
      </c>
    </row>
    <row r="875" spans="1:29" x14ac:dyDescent="0.25">
      <c r="A875" t="s">
        <v>940</v>
      </c>
      <c r="D875" t="s">
        <v>1903</v>
      </c>
      <c r="E875" t="s">
        <v>2003</v>
      </c>
      <c r="F875" t="s">
        <v>2077</v>
      </c>
      <c r="G875" t="s">
        <v>2087</v>
      </c>
      <c r="H875" t="s">
        <v>2096</v>
      </c>
      <c r="I875" t="s">
        <v>2100</v>
      </c>
      <c r="J875">
        <v>4809</v>
      </c>
      <c r="K875">
        <v>7.57</v>
      </c>
      <c r="L875">
        <v>2.6</v>
      </c>
      <c r="M875">
        <v>24.72</v>
      </c>
      <c r="N875">
        <v>5</v>
      </c>
      <c r="O875">
        <v>16</v>
      </c>
      <c r="P875">
        <v>1977.6</v>
      </c>
      <c r="Q875">
        <v>1.31</v>
      </c>
      <c r="R875">
        <v>1976.29</v>
      </c>
      <c r="AC875" s="1">
        <v>41524</v>
      </c>
    </row>
    <row r="876" spans="1:29" x14ac:dyDescent="0.25">
      <c r="A876" t="s">
        <v>997</v>
      </c>
      <c r="D876" t="s">
        <v>1955</v>
      </c>
      <c r="E876" t="s">
        <v>1994</v>
      </c>
      <c r="F876" t="s">
        <v>2074</v>
      </c>
      <c r="G876" t="s">
        <v>2087</v>
      </c>
      <c r="H876" t="s">
        <v>2096</v>
      </c>
      <c r="I876" t="s">
        <v>2097</v>
      </c>
      <c r="J876">
        <v>979</v>
      </c>
      <c r="K876">
        <v>39.130000000000003</v>
      </c>
      <c r="L876">
        <v>4.9000000000000004</v>
      </c>
      <c r="M876">
        <v>12</v>
      </c>
      <c r="N876">
        <v>3</v>
      </c>
      <c r="O876">
        <v>7</v>
      </c>
      <c r="P876">
        <v>252</v>
      </c>
      <c r="Q876">
        <v>1.29</v>
      </c>
      <c r="R876">
        <v>250.71</v>
      </c>
      <c r="AC876" s="1">
        <v>42625</v>
      </c>
    </row>
    <row r="877" spans="1:29" x14ac:dyDescent="0.25">
      <c r="A877" t="s">
        <v>221</v>
      </c>
      <c r="D877" t="s">
        <v>1230</v>
      </c>
      <c r="E877" t="s">
        <v>2040</v>
      </c>
      <c r="F877" t="s">
        <v>2080</v>
      </c>
      <c r="G877" t="s">
        <v>2088</v>
      </c>
      <c r="H877" t="s">
        <v>2093</v>
      </c>
      <c r="I877" t="s">
        <v>2100</v>
      </c>
      <c r="J877">
        <v>1856</v>
      </c>
      <c r="K877">
        <v>49.52</v>
      </c>
      <c r="L877">
        <v>3.4</v>
      </c>
      <c r="M877">
        <v>7.44</v>
      </c>
      <c r="N877">
        <v>4</v>
      </c>
      <c r="O877">
        <v>3</v>
      </c>
      <c r="P877">
        <v>89.28</v>
      </c>
      <c r="Q877">
        <v>9.94</v>
      </c>
      <c r="R877">
        <v>79.34</v>
      </c>
      <c r="AC877" s="1">
        <v>40867</v>
      </c>
    </row>
    <row r="878" spans="1:29" x14ac:dyDescent="0.25">
      <c r="A878" t="s">
        <v>260</v>
      </c>
      <c r="D878" t="s">
        <v>1267</v>
      </c>
      <c r="E878" t="s">
        <v>2063</v>
      </c>
      <c r="F878" t="s">
        <v>2080</v>
      </c>
      <c r="G878" t="s">
        <v>2088</v>
      </c>
      <c r="H878" t="s">
        <v>2093</v>
      </c>
      <c r="I878" t="s">
        <v>2101</v>
      </c>
      <c r="J878">
        <v>4602</v>
      </c>
      <c r="K878">
        <v>30.88</v>
      </c>
      <c r="L878">
        <v>2.1</v>
      </c>
      <c r="M878">
        <v>18.079999999999998</v>
      </c>
      <c r="N878">
        <v>5</v>
      </c>
      <c r="O878">
        <v>1</v>
      </c>
      <c r="P878">
        <v>90.399999999999991</v>
      </c>
      <c r="Q878">
        <v>5.86</v>
      </c>
      <c r="R878">
        <v>84.54</v>
      </c>
      <c r="AC878" s="1">
        <v>40933</v>
      </c>
    </row>
    <row r="879" spans="1:29" x14ac:dyDescent="0.25">
      <c r="A879" t="s">
        <v>280</v>
      </c>
      <c r="D879" t="s">
        <v>1285</v>
      </c>
      <c r="E879" t="s">
        <v>2068</v>
      </c>
      <c r="F879" t="s">
        <v>2073</v>
      </c>
      <c r="G879" t="s">
        <v>2088</v>
      </c>
      <c r="H879" t="s">
        <v>2094</v>
      </c>
      <c r="I879" t="s">
        <v>2103</v>
      </c>
      <c r="J879">
        <v>4560</v>
      </c>
      <c r="K879">
        <v>22.99</v>
      </c>
      <c r="L879">
        <v>3.4</v>
      </c>
      <c r="M879">
        <v>32.450000000000003</v>
      </c>
      <c r="N879">
        <v>5</v>
      </c>
      <c r="O879">
        <v>19</v>
      </c>
      <c r="P879">
        <v>3082.75</v>
      </c>
      <c r="Q879">
        <v>5.82</v>
      </c>
      <c r="R879">
        <v>3076.93</v>
      </c>
      <c r="AC879" s="1">
        <v>43065</v>
      </c>
    </row>
    <row r="880" spans="1:29" x14ac:dyDescent="0.25">
      <c r="A880" t="s">
        <v>292</v>
      </c>
      <c r="D880" t="s">
        <v>1297</v>
      </c>
      <c r="E880" t="s">
        <v>2003</v>
      </c>
      <c r="F880" t="s">
        <v>2080</v>
      </c>
      <c r="G880" t="s">
        <v>2088</v>
      </c>
      <c r="H880" t="s">
        <v>2095</v>
      </c>
      <c r="I880" t="s">
        <v>2109</v>
      </c>
      <c r="J880">
        <v>2030</v>
      </c>
      <c r="K880">
        <v>8.4600000000000009</v>
      </c>
      <c r="L880">
        <v>4</v>
      </c>
      <c r="M880">
        <v>17.760000000000002</v>
      </c>
      <c r="N880">
        <v>5</v>
      </c>
      <c r="O880">
        <v>14</v>
      </c>
      <c r="P880">
        <v>1243.2000000000003</v>
      </c>
      <c r="Q880">
        <v>9.24</v>
      </c>
      <c r="R880">
        <v>1233.96</v>
      </c>
      <c r="AC880" s="1">
        <v>43139</v>
      </c>
    </row>
    <row r="881" spans="1:29" x14ac:dyDescent="0.25">
      <c r="A881" t="s">
        <v>507</v>
      </c>
      <c r="D881" t="s">
        <v>1502</v>
      </c>
      <c r="E881" t="s">
        <v>2040</v>
      </c>
      <c r="F881" t="s">
        <v>2074</v>
      </c>
      <c r="G881" t="s">
        <v>2088</v>
      </c>
      <c r="H881" t="s">
        <v>2093</v>
      </c>
      <c r="I881" t="s">
        <v>2098</v>
      </c>
      <c r="J881">
        <v>4122</v>
      </c>
      <c r="K881">
        <v>49.42</v>
      </c>
      <c r="L881">
        <v>1.7</v>
      </c>
      <c r="M881">
        <v>31.48</v>
      </c>
      <c r="N881">
        <v>3</v>
      </c>
      <c r="O881">
        <v>12</v>
      </c>
      <c r="P881">
        <v>1133.28</v>
      </c>
      <c r="Q881">
        <v>1.77</v>
      </c>
      <c r="R881">
        <v>1131.51</v>
      </c>
      <c r="AC881" s="1">
        <v>41398</v>
      </c>
    </row>
    <row r="882" spans="1:29" x14ac:dyDescent="0.25">
      <c r="A882" t="s">
        <v>604</v>
      </c>
      <c r="D882" t="s">
        <v>1591</v>
      </c>
      <c r="E882" t="s">
        <v>2037</v>
      </c>
      <c r="F882" t="s">
        <v>2079</v>
      </c>
      <c r="G882" t="s">
        <v>2088</v>
      </c>
      <c r="H882" t="s">
        <v>2095</v>
      </c>
      <c r="I882" t="s">
        <v>2104</v>
      </c>
      <c r="J882">
        <v>595</v>
      </c>
      <c r="K882">
        <v>37.74</v>
      </c>
      <c r="L882">
        <v>2.7</v>
      </c>
      <c r="M882">
        <v>32.65</v>
      </c>
      <c r="N882">
        <v>4</v>
      </c>
      <c r="O882">
        <v>5</v>
      </c>
      <c r="P882">
        <v>653</v>
      </c>
      <c r="Q882">
        <v>8.89</v>
      </c>
      <c r="R882">
        <v>644.11</v>
      </c>
      <c r="AC882" s="1">
        <v>43146</v>
      </c>
    </row>
    <row r="883" spans="1:29" x14ac:dyDescent="0.25">
      <c r="A883" t="s">
        <v>634</v>
      </c>
      <c r="D883" t="s">
        <v>1619</v>
      </c>
      <c r="E883" t="s">
        <v>2055</v>
      </c>
      <c r="F883" t="s">
        <v>2078</v>
      </c>
      <c r="G883" t="s">
        <v>2088</v>
      </c>
      <c r="H883" t="s">
        <v>2096</v>
      </c>
      <c r="I883" t="s">
        <v>2097</v>
      </c>
      <c r="J883">
        <v>3607</v>
      </c>
      <c r="K883">
        <v>47.52</v>
      </c>
      <c r="L883">
        <v>1.3</v>
      </c>
      <c r="M883">
        <v>22.71</v>
      </c>
      <c r="N883">
        <v>5</v>
      </c>
      <c r="O883">
        <v>4</v>
      </c>
      <c r="P883">
        <v>454.20000000000005</v>
      </c>
      <c r="Q883">
        <v>8.86</v>
      </c>
      <c r="R883">
        <v>445.34</v>
      </c>
      <c r="AC883" s="1">
        <v>41037</v>
      </c>
    </row>
    <row r="884" spans="1:29" x14ac:dyDescent="0.25">
      <c r="A884" t="s">
        <v>648</v>
      </c>
      <c r="D884" t="s">
        <v>1632</v>
      </c>
      <c r="E884" t="s">
        <v>2043</v>
      </c>
      <c r="F884" t="s">
        <v>2076</v>
      </c>
      <c r="G884" t="s">
        <v>2088</v>
      </c>
      <c r="H884" t="s">
        <v>2096</v>
      </c>
      <c r="I884" t="s">
        <v>2111</v>
      </c>
      <c r="J884">
        <v>4729</v>
      </c>
      <c r="K884">
        <v>41.78</v>
      </c>
      <c r="L884">
        <v>2.5</v>
      </c>
      <c r="M884">
        <v>29.05</v>
      </c>
      <c r="N884">
        <v>3</v>
      </c>
      <c r="O884">
        <v>5</v>
      </c>
      <c r="P884">
        <v>435.75</v>
      </c>
      <c r="Q884">
        <v>2.76</v>
      </c>
      <c r="R884">
        <v>432.99</v>
      </c>
      <c r="AC884" s="1">
        <v>42327</v>
      </c>
    </row>
    <row r="885" spans="1:29" x14ac:dyDescent="0.25">
      <c r="A885" t="s">
        <v>754</v>
      </c>
      <c r="D885" t="s">
        <v>1730</v>
      </c>
      <c r="E885" t="s">
        <v>2068</v>
      </c>
      <c r="F885" t="s">
        <v>2074</v>
      </c>
      <c r="G885" t="s">
        <v>2088</v>
      </c>
      <c r="H885" t="s">
        <v>2092</v>
      </c>
      <c r="I885" t="s">
        <v>2105</v>
      </c>
      <c r="J885">
        <v>648</v>
      </c>
      <c r="K885">
        <v>27.7</v>
      </c>
      <c r="L885">
        <v>4.9000000000000004</v>
      </c>
      <c r="M885">
        <v>24.5</v>
      </c>
      <c r="N885">
        <v>3</v>
      </c>
      <c r="O885">
        <v>14</v>
      </c>
      <c r="P885">
        <v>1029</v>
      </c>
      <c r="Q885">
        <v>6.33</v>
      </c>
      <c r="R885">
        <v>1022.67</v>
      </c>
      <c r="AC885" s="1">
        <v>40965</v>
      </c>
    </row>
    <row r="886" spans="1:29" x14ac:dyDescent="0.25">
      <c r="A886" t="s">
        <v>819</v>
      </c>
      <c r="D886" t="s">
        <v>1790</v>
      </c>
      <c r="E886" t="s">
        <v>2041</v>
      </c>
      <c r="F886" t="s">
        <v>2077</v>
      </c>
      <c r="G886" t="s">
        <v>2088</v>
      </c>
      <c r="H886" t="s">
        <v>2095</v>
      </c>
      <c r="I886" t="s">
        <v>2097</v>
      </c>
      <c r="J886">
        <v>1761</v>
      </c>
      <c r="K886">
        <v>20.73</v>
      </c>
      <c r="L886">
        <v>2.2000000000000002</v>
      </c>
      <c r="M886">
        <v>38.03</v>
      </c>
      <c r="N886">
        <v>5</v>
      </c>
      <c r="O886">
        <v>11</v>
      </c>
      <c r="P886">
        <v>2091.65</v>
      </c>
      <c r="Q886">
        <v>0.21</v>
      </c>
      <c r="R886">
        <v>2091.44</v>
      </c>
      <c r="AC886" s="1">
        <v>43056</v>
      </c>
    </row>
    <row r="887" spans="1:29" x14ac:dyDescent="0.25">
      <c r="A887" t="s">
        <v>909</v>
      </c>
      <c r="D887" t="s">
        <v>1874</v>
      </c>
      <c r="E887" t="s">
        <v>1992</v>
      </c>
      <c r="F887" t="s">
        <v>2075</v>
      </c>
      <c r="G887" t="s">
        <v>2088</v>
      </c>
      <c r="H887" t="s">
        <v>2096</v>
      </c>
      <c r="I887" t="s">
        <v>2109</v>
      </c>
      <c r="J887">
        <v>1507</v>
      </c>
      <c r="K887">
        <v>36.26</v>
      </c>
      <c r="L887">
        <v>1.3</v>
      </c>
      <c r="M887">
        <v>11.49</v>
      </c>
      <c r="N887">
        <v>1</v>
      </c>
      <c r="O887">
        <v>16</v>
      </c>
      <c r="P887">
        <v>183.84</v>
      </c>
      <c r="Q887">
        <v>9.58</v>
      </c>
      <c r="R887">
        <v>174.26</v>
      </c>
      <c r="AC887" s="1">
        <v>41114</v>
      </c>
    </row>
    <row r="888" spans="1:29" x14ac:dyDescent="0.25">
      <c r="A888" t="s">
        <v>976</v>
      </c>
      <c r="D888" t="s">
        <v>1935</v>
      </c>
      <c r="E888" t="s">
        <v>2000</v>
      </c>
      <c r="F888" t="s">
        <v>2079</v>
      </c>
      <c r="G888" t="s">
        <v>2088</v>
      </c>
      <c r="H888" t="s">
        <v>2096</v>
      </c>
      <c r="I888" t="s">
        <v>2106</v>
      </c>
      <c r="J888">
        <v>1785</v>
      </c>
      <c r="K888">
        <v>30.71</v>
      </c>
      <c r="L888">
        <v>3.7</v>
      </c>
      <c r="M888">
        <v>22.7</v>
      </c>
      <c r="N888">
        <v>3</v>
      </c>
      <c r="O888">
        <v>11</v>
      </c>
      <c r="P888">
        <v>749.09999999999991</v>
      </c>
      <c r="Q888">
        <v>9.5299999999999994</v>
      </c>
      <c r="R888">
        <v>739.57</v>
      </c>
      <c r="AC888" s="1">
        <v>42640</v>
      </c>
    </row>
    <row r="889" spans="1:29" x14ac:dyDescent="0.25">
      <c r="A889" t="s">
        <v>1006</v>
      </c>
      <c r="D889" t="s">
        <v>1964</v>
      </c>
      <c r="E889" t="s">
        <v>1987</v>
      </c>
      <c r="F889" t="s">
        <v>2081</v>
      </c>
      <c r="G889" t="s">
        <v>2088</v>
      </c>
      <c r="H889" t="s">
        <v>2095</v>
      </c>
      <c r="I889" t="s">
        <v>2110</v>
      </c>
      <c r="J889">
        <v>2670</v>
      </c>
      <c r="K889">
        <v>21.68</v>
      </c>
      <c r="L889">
        <v>1</v>
      </c>
      <c r="M889">
        <v>38.71</v>
      </c>
      <c r="N889">
        <v>5</v>
      </c>
      <c r="O889">
        <v>18</v>
      </c>
      <c r="P889">
        <v>3483.9</v>
      </c>
      <c r="Q889">
        <v>0.3</v>
      </c>
      <c r="R889">
        <v>3483.6</v>
      </c>
      <c r="AC889" s="1">
        <v>42021</v>
      </c>
    </row>
    <row r="890" spans="1:29" x14ac:dyDescent="0.25">
      <c r="A890" t="s">
        <v>32</v>
      </c>
      <c r="D890" t="s">
        <v>1042</v>
      </c>
      <c r="E890" t="s">
        <v>1987</v>
      </c>
      <c r="F890" t="s">
        <v>2079</v>
      </c>
      <c r="G890" t="s">
        <v>2085</v>
      </c>
      <c r="H890" t="s">
        <v>2095</v>
      </c>
      <c r="I890" t="s">
        <v>2097</v>
      </c>
      <c r="J890">
        <v>3288</v>
      </c>
      <c r="K890">
        <v>15.99</v>
      </c>
      <c r="L890">
        <v>2</v>
      </c>
      <c r="M890">
        <v>19.579999999999998</v>
      </c>
      <c r="N890">
        <v>3</v>
      </c>
      <c r="O890">
        <v>13</v>
      </c>
      <c r="P890">
        <v>763.61999999999989</v>
      </c>
      <c r="Q890">
        <v>6</v>
      </c>
      <c r="R890">
        <v>757.62</v>
      </c>
      <c r="AC890" s="1">
        <v>41364</v>
      </c>
    </row>
    <row r="891" spans="1:29" x14ac:dyDescent="0.25">
      <c r="A891" t="s">
        <v>161</v>
      </c>
      <c r="D891" t="s">
        <v>1170</v>
      </c>
      <c r="E891" t="s">
        <v>2025</v>
      </c>
      <c r="F891" t="s">
        <v>2078</v>
      </c>
      <c r="G891" t="s">
        <v>2085</v>
      </c>
      <c r="H891" t="s">
        <v>2093</v>
      </c>
      <c r="I891" t="s">
        <v>2103</v>
      </c>
      <c r="J891">
        <v>4665</v>
      </c>
      <c r="K891">
        <v>36.549999999999997</v>
      </c>
      <c r="L891">
        <v>1.5</v>
      </c>
      <c r="M891">
        <v>11.11</v>
      </c>
      <c r="N891">
        <v>2</v>
      </c>
      <c r="O891">
        <v>9</v>
      </c>
      <c r="P891">
        <v>199.98</v>
      </c>
      <c r="Q891">
        <v>0.31</v>
      </c>
      <c r="R891">
        <v>199.67</v>
      </c>
      <c r="AC891" s="1">
        <v>43449</v>
      </c>
    </row>
    <row r="892" spans="1:29" x14ac:dyDescent="0.25">
      <c r="A892" t="s">
        <v>214</v>
      </c>
      <c r="D892" t="s">
        <v>1223</v>
      </c>
      <c r="E892" t="s">
        <v>1974</v>
      </c>
      <c r="F892" t="s">
        <v>2077</v>
      </c>
      <c r="G892" t="s">
        <v>2085</v>
      </c>
      <c r="H892" t="s">
        <v>2095</v>
      </c>
      <c r="I892" t="s">
        <v>2098</v>
      </c>
      <c r="J892">
        <v>1230</v>
      </c>
      <c r="K892">
        <v>18.170000000000002</v>
      </c>
      <c r="L892">
        <v>3.4</v>
      </c>
      <c r="M892">
        <v>26.78</v>
      </c>
      <c r="N892">
        <v>2</v>
      </c>
      <c r="O892">
        <v>15</v>
      </c>
      <c r="P892">
        <v>803.40000000000009</v>
      </c>
      <c r="Q892">
        <v>8.86</v>
      </c>
      <c r="R892">
        <v>794.54</v>
      </c>
      <c r="AC892" s="1">
        <v>43102</v>
      </c>
    </row>
    <row r="893" spans="1:29" x14ac:dyDescent="0.25">
      <c r="A893" t="s">
        <v>289</v>
      </c>
      <c r="D893" t="s">
        <v>1294</v>
      </c>
      <c r="E893" t="s">
        <v>2004</v>
      </c>
      <c r="F893" t="s">
        <v>2076</v>
      </c>
      <c r="G893" t="s">
        <v>2085</v>
      </c>
      <c r="H893" t="s">
        <v>2095</v>
      </c>
      <c r="I893" t="s">
        <v>2100</v>
      </c>
      <c r="J893">
        <v>1318</v>
      </c>
      <c r="K893">
        <v>27</v>
      </c>
      <c r="L893">
        <v>1.9</v>
      </c>
      <c r="M893">
        <v>19.350000000000001</v>
      </c>
      <c r="N893">
        <v>5</v>
      </c>
      <c r="O893">
        <v>2</v>
      </c>
      <c r="P893">
        <v>193.5</v>
      </c>
      <c r="Q893">
        <v>0.83</v>
      </c>
      <c r="R893">
        <v>192.67</v>
      </c>
      <c r="AC893" s="1">
        <v>42621</v>
      </c>
    </row>
    <row r="894" spans="1:29" x14ac:dyDescent="0.25">
      <c r="A894" t="s">
        <v>344</v>
      </c>
      <c r="D894" t="s">
        <v>1347</v>
      </c>
      <c r="E894" t="s">
        <v>1979</v>
      </c>
      <c r="F894" t="s">
        <v>2075</v>
      </c>
      <c r="G894" t="s">
        <v>2085</v>
      </c>
      <c r="H894" t="s">
        <v>2092</v>
      </c>
      <c r="I894" t="s">
        <v>2109</v>
      </c>
      <c r="J894">
        <v>4080</v>
      </c>
      <c r="K894">
        <v>8.91</v>
      </c>
      <c r="L894">
        <v>4</v>
      </c>
      <c r="M894">
        <v>34.06</v>
      </c>
      <c r="N894">
        <v>1</v>
      </c>
      <c r="O894">
        <v>12</v>
      </c>
      <c r="P894">
        <v>408.72</v>
      </c>
      <c r="Q894">
        <v>5.0199999999999996</v>
      </c>
      <c r="R894">
        <v>403.7</v>
      </c>
      <c r="AC894" s="1">
        <v>40515</v>
      </c>
    </row>
    <row r="895" spans="1:29" x14ac:dyDescent="0.25">
      <c r="A895" t="s">
        <v>396</v>
      </c>
      <c r="D895" t="s">
        <v>1193</v>
      </c>
      <c r="E895" t="s">
        <v>2034</v>
      </c>
      <c r="F895" t="s">
        <v>2079</v>
      </c>
      <c r="G895" t="s">
        <v>2085</v>
      </c>
      <c r="H895" t="s">
        <v>2093</v>
      </c>
      <c r="I895" t="s">
        <v>2099</v>
      </c>
      <c r="J895">
        <v>2296</v>
      </c>
      <c r="K895">
        <v>8.6199999999999992</v>
      </c>
      <c r="L895">
        <v>3</v>
      </c>
      <c r="M895">
        <v>31.5</v>
      </c>
      <c r="N895">
        <v>4</v>
      </c>
      <c r="O895">
        <v>10</v>
      </c>
      <c r="P895">
        <v>1260</v>
      </c>
      <c r="Q895">
        <v>7.62</v>
      </c>
      <c r="R895">
        <v>1252.3800000000001</v>
      </c>
      <c r="AC895" s="1">
        <v>40334</v>
      </c>
    </row>
    <row r="896" spans="1:29" x14ac:dyDescent="0.25">
      <c r="A896" t="s">
        <v>446</v>
      </c>
      <c r="D896" t="s">
        <v>1444</v>
      </c>
      <c r="E896" t="s">
        <v>1985</v>
      </c>
      <c r="F896" t="s">
        <v>2076</v>
      </c>
      <c r="G896" t="s">
        <v>2085</v>
      </c>
      <c r="H896" t="s">
        <v>2095</v>
      </c>
      <c r="I896" t="s">
        <v>2100</v>
      </c>
      <c r="J896">
        <v>790</v>
      </c>
      <c r="K896">
        <v>20.6</v>
      </c>
      <c r="L896">
        <v>2.2999999999999998</v>
      </c>
      <c r="M896">
        <v>37.56</v>
      </c>
      <c r="N896">
        <v>2</v>
      </c>
      <c r="O896">
        <v>9</v>
      </c>
      <c r="P896">
        <v>676.08</v>
      </c>
      <c r="Q896">
        <v>9.7200000000000006</v>
      </c>
      <c r="R896">
        <v>666.36</v>
      </c>
      <c r="AC896" s="1">
        <v>43019</v>
      </c>
    </row>
    <row r="897" spans="1:29" x14ac:dyDescent="0.25">
      <c r="A897" t="s">
        <v>495</v>
      </c>
      <c r="D897" t="s">
        <v>1491</v>
      </c>
      <c r="E897" t="s">
        <v>2002</v>
      </c>
      <c r="F897" t="s">
        <v>2076</v>
      </c>
      <c r="G897" t="s">
        <v>2085</v>
      </c>
      <c r="H897" t="s">
        <v>2095</v>
      </c>
      <c r="I897" t="s">
        <v>2111</v>
      </c>
      <c r="J897">
        <v>1850</v>
      </c>
      <c r="K897">
        <v>36.43</v>
      </c>
      <c r="L897">
        <v>1.7</v>
      </c>
      <c r="M897">
        <v>38.31</v>
      </c>
      <c r="N897">
        <v>3</v>
      </c>
      <c r="O897">
        <v>13</v>
      </c>
      <c r="P897">
        <v>1494.0900000000001</v>
      </c>
      <c r="Q897">
        <v>8.0299999999999994</v>
      </c>
      <c r="R897">
        <v>1486.06</v>
      </c>
      <c r="AC897" s="1">
        <v>42119</v>
      </c>
    </row>
    <row r="898" spans="1:29" x14ac:dyDescent="0.25">
      <c r="A898" t="s">
        <v>517</v>
      </c>
      <c r="D898" t="s">
        <v>1512</v>
      </c>
      <c r="E898" t="s">
        <v>2052</v>
      </c>
      <c r="F898" t="s">
        <v>2078</v>
      </c>
      <c r="G898" t="s">
        <v>2085</v>
      </c>
      <c r="H898" t="s">
        <v>2093</v>
      </c>
      <c r="I898" t="s">
        <v>2104</v>
      </c>
      <c r="J898">
        <v>1230</v>
      </c>
      <c r="K898">
        <v>39.1</v>
      </c>
      <c r="L898">
        <v>3.7</v>
      </c>
      <c r="M898">
        <v>25.75</v>
      </c>
      <c r="N898">
        <v>5</v>
      </c>
      <c r="O898">
        <v>13</v>
      </c>
      <c r="P898">
        <v>1673.75</v>
      </c>
      <c r="Q898">
        <v>2.08</v>
      </c>
      <c r="R898">
        <v>1671.67</v>
      </c>
      <c r="AC898" s="1">
        <v>40691</v>
      </c>
    </row>
    <row r="899" spans="1:29" x14ac:dyDescent="0.25">
      <c r="A899" t="s">
        <v>528</v>
      </c>
      <c r="D899" t="s">
        <v>1523</v>
      </c>
      <c r="E899" t="s">
        <v>2015</v>
      </c>
      <c r="F899" t="s">
        <v>2075</v>
      </c>
      <c r="G899" t="s">
        <v>2085</v>
      </c>
      <c r="H899" t="s">
        <v>2093</v>
      </c>
      <c r="I899" t="s">
        <v>2099</v>
      </c>
      <c r="J899">
        <v>3878</v>
      </c>
      <c r="K899">
        <v>17.41</v>
      </c>
      <c r="L899">
        <v>2.4</v>
      </c>
      <c r="M899">
        <v>12.45</v>
      </c>
      <c r="N899">
        <v>5</v>
      </c>
      <c r="O899">
        <v>4</v>
      </c>
      <c r="P899">
        <v>249</v>
      </c>
      <c r="Q899">
        <v>3.46</v>
      </c>
      <c r="R899">
        <v>245.54</v>
      </c>
      <c r="AC899" s="1">
        <v>43160</v>
      </c>
    </row>
    <row r="900" spans="1:29" x14ac:dyDescent="0.25">
      <c r="A900" t="s">
        <v>760</v>
      </c>
      <c r="D900" t="s">
        <v>1736</v>
      </c>
      <c r="E900" t="s">
        <v>1988</v>
      </c>
      <c r="F900" t="s">
        <v>2077</v>
      </c>
      <c r="G900" t="s">
        <v>2085</v>
      </c>
      <c r="H900" t="s">
        <v>2092</v>
      </c>
      <c r="I900" t="s">
        <v>2105</v>
      </c>
      <c r="J900">
        <v>4637</v>
      </c>
      <c r="K900">
        <v>14.73</v>
      </c>
      <c r="L900">
        <v>2.2000000000000002</v>
      </c>
      <c r="M900">
        <v>28.78</v>
      </c>
      <c r="N900">
        <v>3</v>
      </c>
      <c r="O900">
        <v>16</v>
      </c>
      <c r="P900">
        <v>1381.44</v>
      </c>
      <c r="Q900">
        <v>8.44</v>
      </c>
      <c r="R900">
        <v>1373</v>
      </c>
      <c r="AC900" s="1">
        <v>42370</v>
      </c>
    </row>
    <row r="901" spans="1:29" x14ac:dyDescent="0.25">
      <c r="A901" t="s">
        <v>778</v>
      </c>
      <c r="D901" t="s">
        <v>1754</v>
      </c>
      <c r="E901" t="s">
        <v>1992</v>
      </c>
      <c r="F901" t="s">
        <v>2074</v>
      </c>
      <c r="G901" t="s">
        <v>2085</v>
      </c>
      <c r="H901" t="s">
        <v>2095</v>
      </c>
      <c r="I901" t="s">
        <v>2101</v>
      </c>
      <c r="J901">
        <v>3936</v>
      </c>
      <c r="K901">
        <v>34.799999999999997</v>
      </c>
      <c r="L901">
        <v>3.9</v>
      </c>
      <c r="M901">
        <v>28.64</v>
      </c>
      <c r="N901">
        <v>3</v>
      </c>
      <c r="O901">
        <v>11</v>
      </c>
      <c r="P901">
        <v>945.12</v>
      </c>
      <c r="Q901">
        <v>5.73</v>
      </c>
      <c r="R901">
        <v>939.39</v>
      </c>
      <c r="AC901" s="1">
        <v>43070</v>
      </c>
    </row>
    <row r="902" spans="1:29" x14ac:dyDescent="0.25">
      <c r="A902" t="s">
        <v>860</v>
      </c>
      <c r="D902" t="s">
        <v>1828</v>
      </c>
      <c r="E902" t="s">
        <v>2063</v>
      </c>
      <c r="F902" t="s">
        <v>2079</v>
      </c>
      <c r="G902" t="s">
        <v>2085</v>
      </c>
      <c r="H902" t="s">
        <v>2094</v>
      </c>
      <c r="I902" t="s">
        <v>2100</v>
      </c>
      <c r="J902">
        <v>4315</v>
      </c>
      <c r="K902">
        <v>46.61</v>
      </c>
      <c r="L902">
        <v>3.9</v>
      </c>
      <c r="M902">
        <v>39.119999999999997</v>
      </c>
      <c r="N902">
        <v>4</v>
      </c>
      <c r="O902">
        <v>16</v>
      </c>
      <c r="P902">
        <v>2503.6799999999998</v>
      </c>
      <c r="Q902">
        <v>7.04</v>
      </c>
      <c r="R902">
        <v>2496.64</v>
      </c>
      <c r="AC902" s="1">
        <v>42674</v>
      </c>
    </row>
    <row r="903" spans="1:29" x14ac:dyDescent="0.25">
      <c r="A903" t="s">
        <v>989</v>
      </c>
      <c r="D903" t="s">
        <v>1948</v>
      </c>
      <c r="E903" t="s">
        <v>2055</v>
      </c>
      <c r="F903" t="s">
        <v>2082</v>
      </c>
      <c r="G903" t="s">
        <v>2085</v>
      </c>
      <c r="H903" t="s">
        <v>2094</v>
      </c>
      <c r="I903" t="s">
        <v>2111</v>
      </c>
      <c r="J903">
        <v>1782</v>
      </c>
      <c r="K903">
        <v>6.21</v>
      </c>
      <c r="L903">
        <v>4.5999999999999996</v>
      </c>
      <c r="M903">
        <v>36.950000000000003</v>
      </c>
      <c r="N903">
        <v>4</v>
      </c>
      <c r="O903">
        <v>13</v>
      </c>
      <c r="P903">
        <v>1921.4</v>
      </c>
      <c r="Q903">
        <v>8.75</v>
      </c>
      <c r="R903">
        <v>1912.65</v>
      </c>
      <c r="AC903" s="1">
        <v>41767</v>
      </c>
    </row>
    <row r="904" spans="1:29" x14ac:dyDescent="0.25">
      <c r="A904" t="s">
        <v>1002</v>
      </c>
      <c r="D904" t="s">
        <v>1960</v>
      </c>
      <c r="E904" t="s">
        <v>2013</v>
      </c>
      <c r="F904" t="s">
        <v>2073</v>
      </c>
      <c r="G904" t="s">
        <v>2085</v>
      </c>
      <c r="H904" t="s">
        <v>2092</v>
      </c>
      <c r="I904" t="s">
        <v>2104</v>
      </c>
      <c r="J904">
        <v>3825</v>
      </c>
      <c r="K904">
        <v>45.2</v>
      </c>
      <c r="L904">
        <v>3.2</v>
      </c>
      <c r="M904">
        <v>32.090000000000003</v>
      </c>
      <c r="N904">
        <v>5</v>
      </c>
      <c r="O904">
        <v>19</v>
      </c>
      <c r="P904">
        <v>3048.55</v>
      </c>
      <c r="Q904">
        <v>8.92</v>
      </c>
      <c r="R904">
        <v>3039.63</v>
      </c>
      <c r="AC904" s="1">
        <v>42737</v>
      </c>
    </row>
    <row r="905" spans="1:29" x14ac:dyDescent="0.25">
      <c r="A905" t="s">
        <v>142</v>
      </c>
      <c r="D905" t="s">
        <v>1151</v>
      </c>
      <c r="E905" t="s">
        <v>2041</v>
      </c>
      <c r="F905" t="s">
        <v>2078</v>
      </c>
      <c r="G905" t="s">
        <v>2091</v>
      </c>
      <c r="H905" t="s">
        <v>2096</v>
      </c>
      <c r="I905" t="s">
        <v>2097</v>
      </c>
      <c r="J905">
        <v>3597</v>
      </c>
      <c r="K905">
        <v>32.57</v>
      </c>
      <c r="L905">
        <v>2.8</v>
      </c>
      <c r="M905">
        <v>14.4</v>
      </c>
      <c r="N905">
        <v>1</v>
      </c>
      <c r="O905">
        <v>7</v>
      </c>
      <c r="P905">
        <v>100.8</v>
      </c>
      <c r="Q905">
        <v>0.91</v>
      </c>
      <c r="R905">
        <v>99.89</v>
      </c>
      <c r="AC905" s="1">
        <v>41268</v>
      </c>
    </row>
    <row r="906" spans="1:29" x14ac:dyDescent="0.25">
      <c r="A906" t="s">
        <v>193</v>
      </c>
      <c r="D906" t="s">
        <v>1202</v>
      </c>
      <c r="E906" t="s">
        <v>2026</v>
      </c>
      <c r="F906" t="s">
        <v>2075</v>
      </c>
      <c r="G906" t="s">
        <v>2091</v>
      </c>
      <c r="H906" t="s">
        <v>2096</v>
      </c>
      <c r="I906" t="s">
        <v>2108</v>
      </c>
      <c r="J906">
        <v>659</v>
      </c>
      <c r="K906">
        <v>49.91</v>
      </c>
      <c r="L906">
        <v>4.2</v>
      </c>
      <c r="M906">
        <v>7.48</v>
      </c>
      <c r="N906">
        <v>2</v>
      </c>
      <c r="O906">
        <v>4</v>
      </c>
      <c r="P906">
        <v>59.84</v>
      </c>
      <c r="Q906">
        <v>7.3</v>
      </c>
      <c r="R906">
        <v>52.54</v>
      </c>
      <c r="AC906" s="1">
        <v>40220</v>
      </c>
    </row>
    <row r="907" spans="1:29" x14ac:dyDescent="0.25">
      <c r="A907" t="s">
        <v>207</v>
      </c>
      <c r="D907" t="s">
        <v>1216</v>
      </c>
      <c r="E907" t="s">
        <v>2026</v>
      </c>
      <c r="F907" t="s">
        <v>2082</v>
      </c>
      <c r="G907" t="s">
        <v>2091</v>
      </c>
      <c r="H907" t="s">
        <v>2093</v>
      </c>
      <c r="I907" t="s">
        <v>2106</v>
      </c>
      <c r="J907">
        <v>1126</v>
      </c>
      <c r="K907">
        <v>35.18</v>
      </c>
      <c r="L907">
        <v>3</v>
      </c>
      <c r="M907">
        <v>25.26</v>
      </c>
      <c r="N907">
        <v>2</v>
      </c>
      <c r="O907">
        <v>13</v>
      </c>
      <c r="P907">
        <v>656.76</v>
      </c>
      <c r="Q907">
        <v>4</v>
      </c>
      <c r="R907">
        <v>652.76</v>
      </c>
      <c r="AC907" s="1">
        <v>42789</v>
      </c>
    </row>
    <row r="908" spans="1:29" x14ac:dyDescent="0.25">
      <c r="A908" t="s">
        <v>265</v>
      </c>
      <c r="D908" t="s">
        <v>1207</v>
      </c>
      <c r="E908" t="s">
        <v>2064</v>
      </c>
      <c r="F908" t="s">
        <v>2077</v>
      </c>
      <c r="G908" t="s">
        <v>2091</v>
      </c>
      <c r="H908" t="s">
        <v>2094</v>
      </c>
      <c r="I908" t="s">
        <v>2097</v>
      </c>
      <c r="J908">
        <v>98</v>
      </c>
      <c r="K908">
        <v>18.54</v>
      </c>
      <c r="L908">
        <v>3</v>
      </c>
      <c r="M908">
        <v>37.36</v>
      </c>
      <c r="N908">
        <v>1</v>
      </c>
      <c r="O908">
        <v>9</v>
      </c>
      <c r="P908">
        <v>336.24</v>
      </c>
      <c r="Q908">
        <v>2.95</v>
      </c>
      <c r="R908">
        <v>333.29</v>
      </c>
      <c r="AC908" s="1">
        <v>42690</v>
      </c>
    </row>
    <row r="909" spans="1:29" x14ac:dyDescent="0.25">
      <c r="A909" t="s">
        <v>301</v>
      </c>
      <c r="D909" t="s">
        <v>1306</v>
      </c>
      <c r="E909" t="s">
        <v>1999</v>
      </c>
      <c r="F909" t="s">
        <v>2082</v>
      </c>
      <c r="G909" t="s">
        <v>2091</v>
      </c>
      <c r="H909" t="s">
        <v>2094</v>
      </c>
      <c r="I909" t="s">
        <v>2101</v>
      </c>
      <c r="J909">
        <v>3046</v>
      </c>
      <c r="K909">
        <v>41.93</v>
      </c>
      <c r="L909">
        <v>3.7</v>
      </c>
      <c r="M909">
        <v>11.28</v>
      </c>
      <c r="N909">
        <v>3</v>
      </c>
      <c r="O909">
        <v>1</v>
      </c>
      <c r="P909">
        <v>33.839999999999996</v>
      </c>
      <c r="Q909">
        <v>1.93</v>
      </c>
      <c r="R909">
        <v>31.91</v>
      </c>
      <c r="AC909" s="1">
        <v>40972</v>
      </c>
    </row>
    <row r="910" spans="1:29" x14ac:dyDescent="0.25">
      <c r="A910" t="s">
        <v>350</v>
      </c>
      <c r="D910" t="s">
        <v>1353</v>
      </c>
      <c r="E910" t="s">
        <v>2000</v>
      </c>
      <c r="F910" t="s">
        <v>2075</v>
      </c>
      <c r="G910" t="s">
        <v>2091</v>
      </c>
      <c r="H910" t="s">
        <v>2093</v>
      </c>
      <c r="I910" t="s">
        <v>2106</v>
      </c>
      <c r="J910">
        <v>183</v>
      </c>
      <c r="K910">
        <v>49.25</v>
      </c>
      <c r="L910">
        <v>3.3</v>
      </c>
      <c r="M910">
        <v>36.76</v>
      </c>
      <c r="N910">
        <v>3</v>
      </c>
      <c r="O910">
        <v>12</v>
      </c>
      <c r="P910">
        <v>1323.3600000000001</v>
      </c>
      <c r="Q910">
        <v>6.64</v>
      </c>
      <c r="R910">
        <v>1316.72</v>
      </c>
      <c r="AC910" s="1">
        <v>42822</v>
      </c>
    </row>
    <row r="911" spans="1:29" x14ac:dyDescent="0.25">
      <c r="A911" t="s">
        <v>673</v>
      </c>
      <c r="D911" t="s">
        <v>1655</v>
      </c>
      <c r="E911" t="s">
        <v>1997</v>
      </c>
      <c r="F911" t="s">
        <v>2079</v>
      </c>
      <c r="G911" t="s">
        <v>2091</v>
      </c>
      <c r="H911" t="s">
        <v>2095</v>
      </c>
      <c r="I911" t="s">
        <v>2108</v>
      </c>
      <c r="J911">
        <v>1033</v>
      </c>
      <c r="K911">
        <v>48.04</v>
      </c>
      <c r="L911">
        <v>1.6</v>
      </c>
      <c r="M911">
        <v>23.43</v>
      </c>
      <c r="N911">
        <v>1</v>
      </c>
      <c r="O911">
        <v>6</v>
      </c>
      <c r="P911">
        <v>140.57999999999998</v>
      </c>
      <c r="Q911">
        <v>7.77</v>
      </c>
      <c r="R911">
        <v>132.81</v>
      </c>
      <c r="AC911" s="1">
        <v>41700</v>
      </c>
    </row>
    <row r="912" spans="1:29" x14ac:dyDescent="0.25">
      <c r="A912" t="s">
        <v>855</v>
      </c>
      <c r="D912" t="s">
        <v>1823</v>
      </c>
      <c r="E912" t="s">
        <v>1989</v>
      </c>
      <c r="F912" t="s">
        <v>2082</v>
      </c>
      <c r="G912" t="s">
        <v>2091</v>
      </c>
      <c r="H912" t="s">
        <v>2093</v>
      </c>
      <c r="I912" t="s">
        <v>2097</v>
      </c>
      <c r="J912">
        <v>1930</v>
      </c>
      <c r="K912">
        <v>30.24</v>
      </c>
      <c r="L912">
        <v>4.8</v>
      </c>
      <c r="M912">
        <v>12.27</v>
      </c>
      <c r="N912">
        <v>3</v>
      </c>
      <c r="O912">
        <v>14</v>
      </c>
      <c r="P912">
        <v>515.34</v>
      </c>
      <c r="Q912">
        <v>2.33</v>
      </c>
      <c r="R912">
        <v>513.01</v>
      </c>
      <c r="AC912" s="1">
        <v>40978</v>
      </c>
    </row>
    <row r="913" spans="1:29" x14ac:dyDescent="0.25">
      <c r="A913" t="s">
        <v>929</v>
      </c>
      <c r="D913" t="s">
        <v>1894</v>
      </c>
      <c r="E913" t="s">
        <v>2026</v>
      </c>
      <c r="F913" t="s">
        <v>2074</v>
      </c>
      <c r="G913" t="s">
        <v>2091</v>
      </c>
      <c r="H913" t="s">
        <v>2092</v>
      </c>
      <c r="I913" t="s">
        <v>2111</v>
      </c>
      <c r="J913">
        <v>3756</v>
      </c>
      <c r="K913">
        <v>21.4</v>
      </c>
      <c r="L913">
        <v>1.5</v>
      </c>
      <c r="M913">
        <v>20.48</v>
      </c>
      <c r="N913">
        <v>4</v>
      </c>
      <c r="O913">
        <v>13</v>
      </c>
      <c r="P913">
        <v>1064.96</v>
      </c>
      <c r="Q913">
        <v>0.44</v>
      </c>
      <c r="R913">
        <v>1064.52</v>
      </c>
      <c r="AC913" s="1">
        <v>40377</v>
      </c>
    </row>
    <row r="914" spans="1:29" x14ac:dyDescent="0.25">
      <c r="A914" t="s">
        <v>946</v>
      </c>
      <c r="D914" t="s">
        <v>1909</v>
      </c>
      <c r="E914" t="s">
        <v>1999</v>
      </c>
      <c r="F914" t="s">
        <v>2082</v>
      </c>
      <c r="G914" t="s">
        <v>2091</v>
      </c>
      <c r="H914" t="s">
        <v>2096</v>
      </c>
      <c r="I914" t="s">
        <v>2109</v>
      </c>
      <c r="J914">
        <v>3895</v>
      </c>
      <c r="K914">
        <v>41.17</v>
      </c>
      <c r="L914">
        <v>2.2000000000000002</v>
      </c>
      <c r="M914">
        <v>14.69</v>
      </c>
      <c r="N914">
        <v>5</v>
      </c>
      <c r="O914">
        <v>17</v>
      </c>
      <c r="P914">
        <v>1248.6500000000001</v>
      </c>
      <c r="Q914">
        <v>0.99</v>
      </c>
      <c r="R914">
        <v>1247.6600000000001</v>
      </c>
      <c r="AC914" s="1">
        <v>42790</v>
      </c>
    </row>
    <row r="915" spans="1:29" x14ac:dyDescent="0.25">
      <c r="A915" t="s">
        <v>972</v>
      </c>
      <c r="D915" t="s">
        <v>1931</v>
      </c>
      <c r="E915" t="s">
        <v>2057</v>
      </c>
      <c r="F915" t="s">
        <v>2075</v>
      </c>
      <c r="G915" t="s">
        <v>2091</v>
      </c>
      <c r="H915" t="s">
        <v>2093</v>
      </c>
      <c r="I915" t="s">
        <v>2106</v>
      </c>
      <c r="J915">
        <v>4902</v>
      </c>
      <c r="K915">
        <v>43.64</v>
      </c>
      <c r="L915">
        <v>4.4000000000000004</v>
      </c>
      <c r="M915">
        <v>35.71</v>
      </c>
      <c r="N915">
        <v>2</v>
      </c>
      <c r="O915">
        <v>14</v>
      </c>
      <c r="P915">
        <v>999.88</v>
      </c>
      <c r="Q915">
        <v>7.74</v>
      </c>
      <c r="R915">
        <v>992.14</v>
      </c>
      <c r="AC915" s="1">
        <v>41774</v>
      </c>
    </row>
    <row r="916" spans="1:29" x14ac:dyDescent="0.25">
      <c r="A916" t="s">
        <v>990</v>
      </c>
      <c r="D916" t="s">
        <v>1219</v>
      </c>
      <c r="E916" t="s">
        <v>2046</v>
      </c>
      <c r="F916" t="s">
        <v>2074</v>
      </c>
      <c r="G916" t="s">
        <v>2091</v>
      </c>
      <c r="H916" t="s">
        <v>2095</v>
      </c>
      <c r="I916" t="s">
        <v>2107</v>
      </c>
      <c r="J916">
        <v>4940</v>
      </c>
      <c r="K916">
        <v>42.53</v>
      </c>
      <c r="L916">
        <v>3.8</v>
      </c>
      <c r="M916">
        <v>7.58</v>
      </c>
      <c r="N916">
        <v>5</v>
      </c>
      <c r="O916">
        <v>12</v>
      </c>
      <c r="P916">
        <v>454.79999999999995</v>
      </c>
      <c r="Q916">
        <v>2.5299999999999998</v>
      </c>
      <c r="R916">
        <v>452.27</v>
      </c>
      <c r="AC916" s="1">
        <v>42147</v>
      </c>
    </row>
    <row r="917" spans="1:29" x14ac:dyDescent="0.25">
      <c r="A917" t="s">
        <v>92</v>
      </c>
      <c r="D917" t="s">
        <v>1102</v>
      </c>
      <c r="E917" t="s">
        <v>2008</v>
      </c>
      <c r="F917" t="s">
        <v>2082</v>
      </c>
      <c r="G917" t="s">
        <v>2086</v>
      </c>
      <c r="H917" t="s">
        <v>2096</v>
      </c>
      <c r="I917" t="s">
        <v>2102</v>
      </c>
      <c r="J917">
        <v>4379</v>
      </c>
      <c r="K917">
        <v>10.119999999999999</v>
      </c>
      <c r="L917">
        <v>1.6</v>
      </c>
      <c r="M917">
        <v>7.43</v>
      </c>
      <c r="N917">
        <v>5</v>
      </c>
      <c r="O917">
        <v>10</v>
      </c>
      <c r="P917">
        <v>371.5</v>
      </c>
      <c r="Q917">
        <v>8.68</v>
      </c>
      <c r="R917">
        <v>362.82</v>
      </c>
      <c r="AC917" s="1">
        <v>42883</v>
      </c>
    </row>
    <row r="918" spans="1:29" x14ac:dyDescent="0.25">
      <c r="A918" t="s">
        <v>151</v>
      </c>
      <c r="D918" t="s">
        <v>1160</v>
      </c>
      <c r="E918" t="s">
        <v>2041</v>
      </c>
      <c r="F918" t="s">
        <v>2077</v>
      </c>
      <c r="G918" t="s">
        <v>2086</v>
      </c>
      <c r="H918" t="s">
        <v>2096</v>
      </c>
      <c r="I918" t="s">
        <v>2107</v>
      </c>
      <c r="J918">
        <v>285</v>
      </c>
      <c r="K918">
        <v>37.340000000000003</v>
      </c>
      <c r="L918">
        <v>3.8</v>
      </c>
      <c r="M918">
        <v>19.100000000000001</v>
      </c>
      <c r="N918">
        <v>2</v>
      </c>
      <c r="O918">
        <v>1</v>
      </c>
      <c r="P918">
        <v>38.200000000000003</v>
      </c>
      <c r="Q918">
        <v>0.8</v>
      </c>
      <c r="R918">
        <v>37.4</v>
      </c>
      <c r="AC918" s="1">
        <v>42576</v>
      </c>
    </row>
    <row r="919" spans="1:29" x14ac:dyDescent="0.25">
      <c r="A919" t="s">
        <v>191</v>
      </c>
      <c r="D919" t="s">
        <v>1200</v>
      </c>
      <c r="E919" t="s">
        <v>2053</v>
      </c>
      <c r="F919" t="s">
        <v>2080</v>
      </c>
      <c r="G919" t="s">
        <v>2086</v>
      </c>
      <c r="H919" t="s">
        <v>2094</v>
      </c>
      <c r="I919" t="s">
        <v>2110</v>
      </c>
      <c r="J919">
        <v>4350</v>
      </c>
      <c r="K919">
        <v>43.38</v>
      </c>
      <c r="L919">
        <v>3.1</v>
      </c>
      <c r="M919">
        <v>21.82</v>
      </c>
      <c r="N919">
        <v>2</v>
      </c>
      <c r="O919">
        <v>12</v>
      </c>
      <c r="P919">
        <v>523.68000000000006</v>
      </c>
      <c r="Q919">
        <v>5.42</v>
      </c>
      <c r="R919">
        <v>518.26</v>
      </c>
      <c r="AC919" s="1">
        <v>42070</v>
      </c>
    </row>
    <row r="920" spans="1:29" x14ac:dyDescent="0.25">
      <c r="A920" t="s">
        <v>368</v>
      </c>
      <c r="D920" t="s">
        <v>1370</v>
      </c>
      <c r="E920" t="s">
        <v>2017</v>
      </c>
      <c r="F920" t="s">
        <v>2079</v>
      </c>
      <c r="G920" t="s">
        <v>2086</v>
      </c>
      <c r="H920" t="s">
        <v>2095</v>
      </c>
      <c r="I920" t="s">
        <v>2097</v>
      </c>
      <c r="J920">
        <v>3584</v>
      </c>
      <c r="K920">
        <v>25.27</v>
      </c>
      <c r="L920">
        <v>2.6</v>
      </c>
      <c r="M920">
        <v>13.28</v>
      </c>
      <c r="N920">
        <v>1</v>
      </c>
      <c r="O920">
        <v>11</v>
      </c>
      <c r="P920">
        <v>146.07999999999998</v>
      </c>
      <c r="Q920">
        <v>2.2400000000000002</v>
      </c>
      <c r="R920">
        <v>143.84</v>
      </c>
      <c r="AC920" s="1">
        <v>41436</v>
      </c>
    </row>
    <row r="921" spans="1:29" x14ac:dyDescent="0.25">
      <c r="A921" t="s">
        <v>371</v>
      </c>
      <c r="D921" t="s">
        <v>1373</v>
      </c>
      <c r="E921" t="s">
        <v>2067</v>
      </c>
      <c r="F921" t="s">
        <v>2079</v>
      </c>
      <c r="G921" t="s">
        <v>2086</v>
      </c>
      <c r="H921" t="s">
        <v>2092</v>
      </c>
      <c r="I921" t="s">
        <v>2101</v>
      </c>
      <c r="J921">
        <v>380</v>
      </c>
      <c r="K921">
        <v>44.91</v>
      </c>
      <c r="L921">
        <v>2.8</v>
      </c>
      <c r="M921">
        <v>19.57</v>
      </c>
      <c r="N921">
        <v>2</v>
      </c>
      <c r="O921">
        <v>3</v>
      </c>
      <c r="P921">
        <v>117.42</v>
      </c>
      <c r="Q921">
        <v>4.8499999999999996</v>
      </c>
      <c r="R921">
        <v>112.57</v>
      </c>
      <c r="AC921" s="1">
        <v>40427</v>
      </c>
    </row>
    <row r="922" spans="1:29" x14ac:dyDescent="0.25">
      <c r="A922" t="s">
        <v>430</v>
      </c>
      <c r="D922" t="s">
        <v>1428</v>
      </c>
      <c r="E922" t="s">
        <v>2022</v>
      </c>
      <c r="F922" t="s">
        <v>2077</v>
      </c>
      <c r="G922" t="s">
        <v>2086</v>
      </c>
      <c r="H922" t="s">
        <v>2096</v>
      </c>
      <c r="I922" t="s">
        <v>2101</v>
      </c>
      <c r="J922">
        <v>4031</v>
      </c>
      <c r="K922">
        <v>49.17</v>
      </c>
      <c r="L922">
        <v>4.0999999999999996</v>
      </c>
      <c r="M922">
        <v>6.15</v>
      </c>
      <c r="N922">
        <v>2</v>
      </c>
      <c r="O922">
        <v>6</v>
      </c>
      <c r="P922">
        <v>73.800000000000011</v>
      </c>
      <c r="Q922">
        <v>8.49</v>
      </c>
      <c r="R922">
        <v>65.31</v>
      </c>
      <c r="AC922" s="1">
        <v>41965</v>
      </c>
    </row>
    <row r="923" spans="1:29" x14ac:dyDescent="0.25">
      <c r="A923" t="s">
        <v>571</v>
      </c>
      <c r="D923" t="s">
        <v>1562</v>
      </c>
      <c r="E923" t="s">
        <v>2045</v>
      </c>
      <c r="F923" t="s">
        <v>2077</v>
      </c>
      <c r="G923" t="s">
        <v>2086</v>
      </c>
      <c r="H923" t="s">
        <v>2096</v>
      </c>
      <c r="I923" t="s">
        <v>2108</v>
      </c>
      <c r="J923">
        <v>4951</v>
      </c>
      <c r="K923">
        <v>45.31</v>
      </c>
      <c r="L923">
        <v>4.5</v>
      </c>
      <c r="M923">
        <v>20.04</v>
      </c>
      <c r="N923">
        <v>2</v>
      </c>
      <c r="O923">
        <v>10</v>
      </c>
      <c r="P923">
        <v>400.79999999999995</v>
      </c>
      <c r="Q923">
        <v>1.99</v>
      </c>
      <c r="R923">
        <v>398.81</v>
      </c>
      <c r="AC923" s="1">
        <v>41510</v>
      </c>
    </row>
    <row r="924" spans="1:29" x14ac:dyDescent="0.25">
      <c r="A924" t="s">
        <v>697</v>
      </c>
      <c r="D924" t="s">
        <v>1678</v>
      </c>
      <c r="E924" t="s">
        <v>1978</v>
      </c>
      <c r="F924" t="s">
        <v>2076</v>
      </c>
      <c r="G924" t="s">
        <v>2086</v>
      </c>
      <c r="H924" t="s">
        <v>2093</v>
      </c>
      <c r="I924" t="s">
        <v>2100</v>
      </c>
      <c r="J924">
        <v>2384</v>
      </c>
      <c r="K924">
        <v>22.92</v>
      </c>
      <c r="L924">
        <v>3.4</v>
      </c>
      <c r="M924">
        <v>24.07</v>
      </c>
      <c r="N924">
        <v>4</v>
      </c>
      <c r="O924">
        <v>14</v>
      </c>
      <c r="P924">
        <v>1347.92</v>
      </c>
      <c r="Q924">
        <v>6.05</v>
      </c>
      <c r="R924">
        <v>1341.87</v>
      </c>
      <c r="AC924" s="1">
        <v>40337</v>
      </c>
    </row>
    <row r="925" spans="1:29" x14ac:dyDescent="0.25">
      <c r="A925" t="s">
        <v>700</v>
      </c>
      <c r="D925" t="s">
        <v>1681</v>
      </c>
      <c r="E925" t="s">
        <v>2012</v>
      </c>
      <c r="F925" t="s">
        <v>2080</v>
      </c>
      <c r="G925" t="s">
        <v>2086</v>
      </c>
      <c r="H925" t="s">
        <v>2092</v>
      </c>
      <c r="I925" t="s">
        <v>2098</v>
      </c>
      <c r="J925">
        <v>4395</v>
      </c>
      <c r="K925">
        <v>33.65</v>
      </c>
      <c r="L925">
        <v>3</v>
      </c>
      <c r="M925">
        <v>27.35</v>
      </c>
      <c r="N925">
        <v>1</v>
      </c>
      <c r="O925">
        <v>14</v>
      </c>
      <c r="P925">
        <v>382.90000000000003</v>
      </c>
      <c r="Q925">
        <v>7.62</v>
      </c>
      <c r="R925">
        <v>375.28</v>
      </c>
      <c r="AC925" s="1">
        <v>42880</v>
      </c>
    </row>
    <row r="926" spans="1:29" x14ac:dyDescent="0.25">
      <c r="A926" t="s">
        <v>751</v>
      </c>
      <c r="D926" t="s">
        <v>1727</v>
      </c>
      <c r="E926" t="s">
        <v>2047</v>
      </c>
      <c r="F926" t="s">
        <v>2078</v>
      </c>
      <c r="G926" t="s">
        <v>2086</v>
      </c>
      <c r="H926" t="s">
        <v>2096</v>
      </c>
      <c r="I926" t="s">
        <v>2110</v>
      </c>
      <c r="J926">
        <v>4279</v>
      </c>
      <c r="K926">
        <v>18.329999999999998</v>
      </c>
      <c r="L926">
        <v>5</v>
      </c>
      <c r="M926">
        <v>32.24</v>
      </c>
      <c r="N926">
        <v>4</v>
      </c>
      <c r="O926">
        <v>6</v>
      </c>
      <c r="P926">
        <v>773.76</v>
      </c>
      <c r="Q926">
        <v>3.81</v>
      </c>
      <c r="R926">
        <v>769.95</v>
      </c>
      <c r="AC926" s="1">
        <v>41671</v>
      </c>
    </row>
    <row r="927" spans="1:29" x14ac:dyDescent="0.25">
      <c r="A927" t="s">
        <v>882</v>
      </c>
      <c r="D927" t="s">
        <v>1848</v>
      </c>
      <c r="E927" t="s">
        <v>1988</v>
      </c>
      <c r="F927" t="s">
        <v>2076</v>
      </c>
      <c r="G927" t="s">
        <v>2086</v>
      </c>
      <c r="H927" t="s">
        <v>2095</v>
      </c>
      <c r="I927" t="s">
        <v>2103</v>
      </c>
      <c r="J927">
        <v>790</v>
      </c>
      <c r="K927">
        <v>9.65</v>
      </c>
      <c r="L927">
        <v>3.2</v>
      </c>
      <c r="M927">
        <v>6.46</v>
      </c>
      <c r="N927">
        <v>4</v>
      </c>
      <c r="O927">
        <v>5</v>
      </c>
      <c r="P927">
        <v>129.19999999999999</v>
      </c>
      <c r="Q927">
        <v>9.52</v>
      </c>
      <c r="R927">
        <v>119.68</v>
      </c>
      <c r="AC927" s="1">
        <v>41742</v>
      </c>
    </row>
    <row r="928" spans="1:29" x14ac:dyDescent="0.25">
      <c r="A928" t="s">
        <v>919</v>
      </c>
      <c r="D928" t="s">
        <v>1884</v>
      </c>
      <c r="E928" t="s">
        <v>1980</v>
      </c>
      <c r="F928" t="s">
        <v>2075</v>
      </c>
      <c r="G928" t="s">
        <v>2086</v>
      </c>
      <c r="H928" t="s">
        <v>2095</v>
      </c>
      <c r="I928" t="s">
        <v>2107</v>
      </c>
      <c r="J928">
        <v>2301</v>
      </c>
      <c r="K928">
        <v>6.03</v>
      </c>
      <c r="L928">
        <v>3.2</v>
      </c>
      <c r="M928">
        <v>10.74</v>
      </c>
      <c r="N928">
        <v>1</v>
      </c>
      <c r="O928">
        <v>19</v>
      </c>
      <c r="P928">
        <v>204.06</v>
      </c>
      <c r="Q928">
        <v>2.39</v>
      </c>
      <c r="R928">
        <v>201.67</v>
      </c>
      <c r="AC928" s="1">
        <v>41248</v>
      </c>
    </row>
    <row r="929" spans="1:29" x14ac:dyDescent="0.25">
      <c r="A929" t="s">
        <v>967</v>
      </c>
      <c r="D929" t="s">
        <v>1927</v>
      </c>
      <c r="E929" t="s">
        <v>2032</v>
      </c>
      <c r="F929" t="s">
        <v>2077</v>
      </c>
      <c r="G929" t="s">
        <v>2086</v>
      </c>
      <c r="H929" t="s">
        <v>2096</v>
      </c>
      <c r="I929" t="s">
        <v>2111</v>
      </c>
      <c r="J929">
        <v>1691</v>
      </c>
      <c r="K929">
        <v>16.62</v>
      </c>
      <c r="L929">
        <v>4.8</v>
      </c>
      <c r="M929">
        <v>25.12</v>
      </c>
      <c r="N929">
        <v>2</v>
      </c>
      <c r="O929">
        <v>3</v>
      </c>
      <c r="P929">
        <v>150.72</v>
      </c>
      <c r="Q929">
        <v>5.37</v>
      </c>
      <c r="R929">
        <v>145.35</v>
      </c>
      <c r="AC929" s="1">
        <v>43261</v>
      </c>
    </row>
    <row r="930" spans="1:29" x14ac:dyDescent="0.25">
      <c r="A930" t="s">
        <v>33</v>
      </c>
      <c r="D930" t="s">
        <v>1043</v>
      </c>
      <c r="E930" t="s">
        <v>1988</v>
      </c>
      <c r="F930" t="s">
        <v>2080</v>
      </c>
      <c r="G930" t="s">
        <v>2089</v>
      </c>
      <c r="H930" t="s">
        <v>2094</v>
      </c>
      <c r="I930" t="s">
        <v>2104</v>
      </c>
      <c r="J930">
        <v>1269</v>
      </c>
      <c r="K930">
        <v>33.78</v>
      </c>
      <c r="L930">
        <v>4.9000000000000004</v>
      </c>
      <c r="M930">
        <v>26.63</v>
      </c>
      <c r="N930">
        <v>1</v>
      </c>
      <c r="O930">
        <v>14</v>
      </c>
      <c r="P930">
        <v>372.82</v>
      </c>
      <c r="Q930">
        <v>3.93</v>
      </c>
      <c r="R930">
        <v>368.89</v>
      </c>
      <c r="AC930" s="1">
        <v>41431</v>
      </c>
    </row>
    <row r="931" spans="1:29" x14ac:dyDescent="0.25">
      <c r="A931" t="s">
        <v>75</v>
      </c>
      <c r="D931" t="s">
        <v>1085</v>
      </c>
      <c r="E931" t="s">
        <v>1986</v>
      </c>
      <c r="F931" t="s">
        <v>2079</v>
      </c>
      <c r="G931" t="s">
        <v>2089</v>
      </c>
      <c r="H931" t="s">
        <v>2095</v>
      </c>
      <c r="I931" t="s">
        <v>2108</v>
      </c>
      <c r="J931">
        <v>3267</v>
      </c>
      <c r="K931">
        <v>11.52</v>
      </c>
      <c r="L931">
        <v>2.6</v>
      </c>
      <c r="M931">
        <v>33.61</v>
      </c>
      <c r="N931">
        <v>4</v>
      </c>
      <c r="O931">
        <v>4</v>
      </c>
      <c r="P931">
        <v>537.76</v>
      </c>
      <c r="Q931">
        <v>2.33</v>
      </c>
      <c r="R931">
        <v>535.42999999999995</v>
      </c>
      <c r="AC931" s="1">
        <v>40974</v>
      </c>
    </row>
    <row r="932" spans="1:29" x14ac:dyDescent="0.25">
      <c r="A932" t="s">
        <v>305</v>
      </c>
      <c r="D932" t="s">
        <v>1309</v>
      </c>
      <c r="E932" t="s">
        <v>2027</v>
      </c>
      <c r="F932" t="s">
        <v>2078</v>
      </c>
      <c r="G932" t="s">
        <v>2089</v>
      </c>
      <c r="H932" t="s">
        <v>2094</v>
      </c>
      <c r="I932" t="s">
        <v>2109</v>
      </c>
      <c r="J932">
        <v>1351</v>
      </c>
      <c r="K932">
        <v>46.1</v>
      </c>
      <c r="L932">
        <v>3.2</v>
      </c>
      <c r="M932">
        <v>7.13</v>
      </c>
      <c r="N932">
        <v>5</v>
      </c>
      <c r="O932">
        <v>17</v>
      </c>
      <c r="P932">
        <v>606.04999999999995</v>
      </c>
      <c r="Q932">
        <v>3.13</v>
      </c>
      <c r="R932">
        <v>602.91999999999996</v>
      </c>
      <c r="AC932" s="1">
        <v>41412</v>
      </c>
    </row>
    <row r="933" spans="1:29" x14ac:dyDescent="0.25">
      <c r="A933" t="s">
        <v>315</v>
      </c>
      <c r="D933" t="s">
        <v>1319</v>
      </c>
      <c r="E933" t="s">
        <v>2057</v>
      </c>
      <c r="F933" t="s">
        <v>2081</v>
      </c>
      <c r="G933" t="s">
        <v>2089</v>
      </c>
      <c r="H933" t="s">
        <v>2092</v>
      </c>
      <c r="I933" t="s">
        <v>2103</v>
      </c>
      <c r="J933">
        <v>4005</v>
      </c>
      <c r="K933">
        <v>45.32</v>
      </c>
      <c r="L933">
        <v>4.0999999999999996</v>
      </c>
      <c r="M933">
        <v>17.87</v>
      </c>
      <c r="N933">
        <v>4</v>
      </c>
      <c r="O933">
        <v>14</v>
      </c>
      <c r="P933">
        <v>1000.72</v>
      </c>
      <c r="Q933">
        <v>5.39</v>
      </c>
      <c r="R933">
        <v>995.33</v>
      </c>
      <c r="AC933" s="1">
        <v>40678</v>
      </c>
    </row>
    <row r="934" spans="1:29" x14ac:dyDescent="0.25">
      <c r="A934" t="s">
        <v>399</v>
      </c>
      <c r="D934" t="s">
        <v>1399</v>
      </c>
      <c r="E934" t="s">
        <v>2024</v>
      </c>
      <c r="F934" t="s">
        <v>2074</v>
      </c>
      <c r="G934" t="s">
        <v>2089</v>
      </c>
      <c r="H934" t="s">
        <v>2096</v>
      </c>
      <c r="I934" t="s">
        <v>2105</v>
      </c>
      <c r="J934">
        <v>1572</v>
      </c>
      <c r="K934">
        <v>12.29</v>
      </c>
      <c r="L934">
        <v>4</v>
      </c>
      <c r="M934">
        <v>34.78</v>
      </c>
      <c r="N934">
        <v>4</v>
      </c>
      <c r="O934">
        <v>12</v>
      </c>
      <c r="P934">
        <v>1669.44</v>
      </c>
      <c r="Q934">
        <v>6.31</v>
      </c>
      <c r="R934">
        <v>1663.13</v>
      </c>
      <c r="AC934" s="1">
        <v>41503</v>
      </c>
    </row>
    <row r="935" spans="1:29" x14ac:dyDescent="0.25">
      <c r="A935" t="s">
        <v>548</v>
      </c>
      <c r="D935" t="s">
        <v>1542</v>
      </c>
      <c r="E935" t="s">
        <v>1983</v>
      </c>
      <c r="F935" t="s">
        <v>2077</v>
      </c>
      <c r="G935" t="s">
        <v>2089</v>
      </c>
      <c r="H935" t="s">
        <v>2094</v>
      </c>
      <c r="I935" t="s">
        <v>2097</v>
      </c>
      <c r="J935">
        <v>3929</v>
      </c>
      <c r="K935">
        <v>34.17</v>
      </c>
      <c r="L935">
        <v>4.8</v>
      </c>
      <c r="M935">
        <v>8.74</v>
      </c>
      <c r="N935">
        <v>4</v>
      </c>
      <c r="O935">
        <v>13</v>
      </c>
      <c r="P935">
        <v>454.48</v>
      </c>
      <c r="Q935">
        <v>8.56</v>
      </c>
      <c r="R935">
        <v>445.92</v>
      </c>
      <c r="AC935" s="1">
        <v>41245</v>
      </c>
    </row>
    <row r="936" spans="1:29" x14ac:dyDescent="0.25">
      <c r="A936" t="s">
        <v>643</v>
      </c>
      <c r="D936" t="s">
        <v>1628</v>
      </c>
      <c r="E936" t="s">
        <v>1983</v>
      </c>
      <c r="F936" t="s">
        <v>2075</v>
      </c>
      <c r="G936" t="s">
        <v>2089</v>
      </c>
      <c r="H936" t="s">
        <v>2096</v>
      </c>
      <c r="I936" t="s">
        <v>2108</v>
      </c>
      <c r="J936">
        <v>2864</v>
      </c>
      <c r="K936">
        <v>27.24</v>
      </c>
      <c r="L936">
        <v>4.4000000000000004</v>
      </c>
      <c r="M936">
        <v>7.42</v>
      </c>
      <c r="N936">
        <v>5</v>
      </c>
      <c r="O936">
        <v>1</v>
      </c>
      <c r="P936">
        <v>37.1</v>
      </c>
      <c r="Q936">
        <v>9.64</v>
      </c>
      <c r="R936">
        <v>27.46</v>
      </c>
      <c r="AC936" s="1">
        <v>41296</v>
      </c>
    </row>
    <row r="937" spans="1:29" x14ac:dyDescent="0.25">
      <c r="A937" t="s">
        <v>650</v>
      </c>
      <c r="D937" t="s">
        <v>1634</v>
      </c>
      <c r="E937" t="s">
        <v>2038</v>
      </c>
      <c r="F937" t="s">
        <v>2080</v>
      </c>
      <c r="G937" t="s">
        <v>2089</v>
      </c>
      <c r="H937" t="s">
        <v>2092</v>
      </c>
      <c r="I937" t="s">
        <v>2107</v>
      </c>
      <c r="J937">
        <v>508</v>
      </c>
      <c r="K937">
        <v>16.8</v>
      </c>
      <c r="L937">
        <v>1.5</v>
      </c>
      <c r="M937">
        <v>10.62</v>
      </c>
      <c r="N937">
        <v>3</v>
      </c>
      <c r="O937">
        <v>16</v>
      </c>
      <c r="P937">
        <v>509.76</v>
      </c>
      <c r="Q937">
        <v>5.86</v>
      </c>
      <c r="R937">
        <v>503.9</v>
      </c>
      <c r="AC937" s="1">
        <v>40526</v>
      </c>
    </row>
    <row r="938" spans="1:29" x14ac:dyDescent="0.25">
      <c r="A938" t="s">
        <v>651</v>
      </c>
      <c r="D938" t="s">
        <v>1635</v>
      </c>
      <c r="E938" t="s">
        <v>2004</v>
      </c>
      <c r="F938" t="s">
        <v>2075</v>
      </c>
      <c r="G938" t="s">
        <v>2089</v>
      </c>
      <c r="H938" t="s">
        <v>2092</v>
      </c>
      <c r="I938" t="s">
        <v>2105</v>
      </c>
      <c r="J938">
        <v>3003</v>
      </c>
      <c r="K938">
        <v>23.68</v>
      </c>
      <c r="L938">
        <v>3.4</v>
      </c>
      <c r="M938">
        <v>39.89</v>
      </c>
      <c r="N938">
        <v>1</v>
      </c>
      <c r="O938">
        <v>20</v>
      </c>
      <c r="P938">
        <v>797.8</v>
      </c>
      <c r="Q938">
        <v>0</v>
      </c>
      <c r="R938">
        <v>797.8</v>
      </c>
      <c r="AC938" s="1">
        <v>42073</v>
      </c>
    </row>
    <row r="939" spans="1:29" x14ac:dyDescent="0.25">
      <c r="A939" t="s">
        <v>691</v>
      </c>
      <c r="D939" t="s">
        <v>1673</v>
      </c>
      <c r="E939" t="s">
        <v>1977</v>
      </c>
      <c r="F939" t="s">
        <v>2075</v>
      </c>
      <c r="G939" t="s">
        <v>2089</v>
      </c>
      <c r="H939" t="s">
        <v>2096</v>
      </c>
      <c r="I939" t="s">
        <v>2105</v>
      </c>
      <c r="J939">
        <v>1851</v>
      </c>
      <c r="K939">
        <v>23.51</v>
      </c>
      <c r="L939">
        <v>4.0999999999999996</v>
      </c>
      <c r="M939">
        <v>37.020000000000003</v>
      </c>
      <c r="N939">
        <v>4</v>
      </c>
      <c r="O939">
        <v>3</v>
      </c>
      <c r="P939">
        <v>444.24</v>
      </c>
      <c r="Q939">
        <v>6.26</v>
      </c>
      <c r="R939">
        <v>437.98</v>
      </c>
      <c r="AC939" s="1">
        <v>41975</v>
      </c>
    </row>
    <row r="940" spans="1:29" x14ac:dyDescent="0.25">
      <c r="A940" t="s">
        <v>817</v>
      </c>
      <c r="D940" t="s">
        <v>1788</v>
      </c>
      <c r="E940" t="s">
        <v>2000</v>
      </c>
      <c r="F940" t="s">
        <v>2078</v>
      </c>
      <c r="G940" t="s">
        <v>2089</v>
      </c>
      <c r="H940" t="s">
        <v>2096</v>
      </c>
      <c r="I940" t="s">
        <v>2107</v>
      </c>
      <c r="J940">
        <v>3815</v>
      </c>
      <c r="K940">
        <v>44.41</v>
      </c>
      <c r="L940">
        <v>2.5</v>
      </c>
      <c r="M940">
        <v>18.3</v>
      </c>
      <c r="N940">
        <v>3</v>
      </c>
      <c r="O940">
        <v>11</v>
      </c>
      <c r="P940">
        <v>603.90000000000009</v>
      </c>
      <c r="Q940">
        <v>3.84</v>
      </c>
      <c r="R940">
        <v>600.05999999999995</v>
      </c>
      <c r="AC940" s="1">
        <v>40828</v>
      </c>
    </row>
    <row r="941" spans="1:29" x14ac:dyDescent="0.25">
      <c r="A941" t="s">
        <v>821</v>
      </c>
      <c r="D941" t="s">
        <v>1792</v>
      </c>
      <c r="E941" t="s">
        <v>1975</v>
      </c>
      <c r="F941" t="s">
        <v>2082</v>
      </c>
      <c r="G941" t="s">
        <v>2089</v>
      </c>
      <c r="H941" t="s">
        <v>2093</v>
      </c>
      <c r="I941" t="s">
        <v>2107</v>
      </c>
      <c r="J941">
        <v>4584</v>
      </c>
      <c r="K941">
        <v>27.58</v>
      </c>
      <c r="L941">
        <v>4.8</v>
      </c>
      <c r="M941">
        <v>21.9</v>
      </c>
      <c r="N941">
        <v>3</v>
      </c>
      <c r="O941">
        <v>15</v>
      </c>
      <c r="P941">
        <v>985.49999999999977</v>
      </c>
      <c r="Q941">
        <v>5.36</v>
      </c>
      <c r="R941">
        <v>980.14</v>
      </c>
      <c r="AC941" s="1">
        <v>41879</v>
      </c>
    </row>
    <row r="942" spans="1:29" x14ac:dyDescent="0.25">
      <c r="A942" t="s">
        <v>827</v>
      </c>
      <c r="D942" t="s">
        <v>1797</v>
      </c>
      <c r="E942" t="s">
        <v>2031</v>
      </c>
      <c r="F942" t="s">
        <v>2082</v>
      </c>
      <c r="G942" t="s">
        <v>2089</v>
      </c>
      <c r="H942" t="s">
        <v>2093</v>
      </c>
      <c r="I942" t="s">
        <v>2110</v>
      </c>
      <c r="J942">
        <v>3415</v>
      </c>
      <c r="K942">
        <v>35.31</v>
      </c>
      <c r="L942">
        <v>3.2</v>
      </c>
      <c r="M942">
        <v>24.48</v>
      </c>
      <c r="N942">
        <v>3</v>
      </c>
      <c r="O942">
        <v>10</v>
      </c>
      <c r="P942">
        <v>734.4</v>
      </c>
      <c r="Q942">
        <v>2.2799999999999998</v>
      </c>
      <c r="R942">
        <v>732.12</v>
      </c>
      <c r="AC942" s="1">
        <v>42486</v>
      </c>
    </row>
    <row r="943" spans="1:29" x14ac:dyDescent="0.25">
      <c r="A943" t="s">
        <v>104</v>
      </c>
      <c r="D943" t="s">
        <v>1114</v>
      </c>
      <c r="E943" t="s">
        <v>2022</v>
      </c>
      <c r="F943" t="s">
        <v>2076</v>
      </c>
      <c r="G943" t="s">
        <v>2084</v>
      </c>
      <c r="H943" t="s">
        <v>2094</v>
      </c>
      <c r="I943" t="s">
        <v>2100</v>
      </c>
      <c r="J943">
        <v>3295</v>
      </c>
      <c r="K943">
        <v>32.86</v>
      </c>
      <c r="L943">
        <v>1.8</v>
      </c>
      <c r="M943">
        <v>35.86</v>
      </c>
      <c r="N943">
        <v>4</v>
      </c>
      <c r="O943">
        <v>17</v>
      </c>
      <c r="P943">
        <v>2438.48</v>
      </c>
      <c r="Q943">
        <v>2.42</v>
      </c>
      <c r="R943">
        <v>2436.06</v>
      </c>
      <c r="AC943" s="1">
        <v>41094</v>
      </c>
    </row>
    <row r="944" spans="1:29" x14ac:dyDescent="0.25">
      <c r="A944" t="s">
        <v>465</v>
      </c>
      <c r="D944" t="s">
        <v>1463</v>
      </c>
      <c r="E944" t="s">
        <v>1993</v>
      </c>
      <c r="F944" t="s">
        <v>2081</v>
      </c>
      <c r="G944" t="s">
        <v>2084</v>
      </c>
      <c r="H944" t="s">
        <v>2092</v>
      </c>
      <c r="I944" t="s">
        <v>2105</v>
      </c>
      <c r="J944">
        <v>999</v>
      </c>
      <c r="K944">
        <v>46.63</v>
      </c>
      <c r="L944">
        <v>3</v>
      </c>
      <c r="M944">
        <v>26.2</v>
      </c>
      <c r="N944">
        <v>1</v>
      </c>
      <c r="O944">
        <v>17</v>
      </c>
      <c r="P944">
        <v>445.4</v>
      </c>
      <c r="Q944">
        <v>8.59</v>
      </c>
      <c r="R944">
        <v>436.81</v>
      </c>
      <c r="AC944" s="1">
        <v>42365</v>
      </c>
    </row>
    <row r="945" spans="1:29" x14ac:dyDescent="0.25">
      <c r="A945" t="s">
        <v>612</v>
      </c>
      <c r="D945" t="s">
        <v>1598</v>
      </c>
      <c r="E945" t="s">
        <v>2005</v>
      </c>
      <c r="F945" t="s">
        <v>2081</v>
      </c>
      <c r="G945" t="s">
        <v>2084</v>
      </c>
      <c r="H945" t="s">
        <v>2094</v>
      </c>
      <c r="I945" t="s">
        <v>2101</v>
      </c>
      <c r="J945">
        <v>978</v>
      </c>
      <c r="K945">
        <v>19.5</v>
      </c>
      <c r="L945">
        <v>3.9</v>
      </c>
      <c r="M945">
        <v>16.170000000000002</v>
      </c>
      <c r="N945">
        <v>2</v>
      </c>
      <c r="O945">
        <v>2</v>
      </c>
      <c r="P945">
        <v>64.680000000000007</v>
      </c>
      <c r="Q945">
        <v>0.86</v>
      </c>
      <c r="R945">
        <v>63.82</v>
      </c>
      <c r="AC945" s="1">
        <v>43438</v>
      </c>
    </row>
    <row r="946" spans="1:29" x14ac:dyDescent="0.25">
      <c r="A946" t="s">
        <v>971</v>
      </c>
      <c r="D946" t="s">
        <v>1930</v>
      </c>
      <c r="E946" t="s">
        <v>2056</v>
      </c>
      <c r="F946" t="s">
        <v>2078</v>
      </c>
      <c r="G946" t="s">
        <v>2084</v>
      </c>
      <c r="H946" t="s">
        <v>2095</v>
      </c>
      <c r="I946" t="s">
        <v>2100</v>
      </c>
      <c r="J946">
        <v>1073</v>
      </c>
      <c r="K946">
        <v>37.869999999999997</v>
      </c>
      <c r="L946">
        <v>4</v>
      </c>
      <c r="M946">
        <v>10.6</v>
      </c>
      <c r="N946">
        <v>5</v>
      </c>
      <c r="O946">
        <v>16</v>
      </c>
      <c r="P946">
        <v>848</v>
      </c>
      <c r="Q946">
        <v>7.22</v>
      </c>
      <c r="R946">
        <v>840.78</v>
      </c>
      <c r="AC946" s="1">
        <v>41986</v>
      </c>
    </row>
    <row r="947" spans="1:29" x14ac:dyDescent="0.25">
      <c r="A947" t="s">
        <v>80</v>
      </c>
      <c r="D947" t="s">
        <v>1090</v>
      </c>
      <c r="E947" t="s">
        <v>2016</v>
      </c>
      <c r="F947" t="s">
        <v>2075</v>
      </c>
      <c r="G947" t="s">
        <v>2090</v>
      </c>
      <c r="H947" t="s">
        <v>2093</v>
      </c>
      <c r="I947" t="s">
        <v>2102</v>
      </c>
      <c r="J947">
        <v>2920</v>
      </c>
      <c r="K947">
        <v>26.08</v>
      </c>
      <c r="L947">
        <v>1.4</v>
      </c>
      <c r="M947">
        <v>18.48</v>
      </c>
      <c r="N947">
        <v>1</v>
      </c>
      <c r="O947">
        <v>15</v>
      </c>
      <c r="P947">
        <v>277.2</v>
      </c>
      <c r="Q947">
        <v>0.98</v>
      </c>
      <c r="R947">
        <v>276.22000000000003</v>
      </c>
      <c r="AC947" s="1">
        <v>42695</v>
      </c>
    </row>
    <row r="948" spans="1:29" x14ac:dyDescent="0.25">
      <c r="A948" t="s">
        <v>101</v>
      </c>
      <c r="D948" t="s">
        <v>1111</v>
      </c>
      <c r="E948" t="s">
        <v>1973</v>
      </c>
      <c r="F948" t="s">
        <v>2077</v>
      </c>
      <c r="G948" t="s">
        <v>2090</v>
      </c>
      <c r="H948" t="s">
        <v>2094</v>
      </c>
      <c r="I948" t="s">
        <v>2108</v>
      </c>
      <c r="J948">
        <v>505</v>
      </c>
      <c r="K948">
        <v>32.340000000000003</v>
      </c>
      <c r="L948">
        <v>4.9000000000000004</v>
      </c>
      <c r="M948">
        <v>35.69</v>
      </c>
      <c r="N948">
        <v>2</v>
      </c>
      <c r="O948">
        <v>9</v>
      </c>
      <c r="P948">
        <v>642.41999999999996</v>
      </c>
      <c r="Q948">
        <v>7.42</v>
      </c>
      <c r="R948">
        <v>635</v>
      </c>
      <c r="AC948" s="1">
        <v>41030</v>
      </c>
    </row>
    <row r="949" spans="1:29" x14ac:dyDescent="0.25">
      <c r="A949" t="s">
        <v>233</v>
      </c>
      <c r="D949" t="s">
        <v>1241</v>
      </c>
      <c r="E949" t="s">
        <v>1979</v>
      </c>
      <c r="F949" t="s">
        <v>2077</v>
      </c>
      <c r="G949" t="s">
        <v>2090</v>
      </c>
      <c r="H949" t="s">
        <v>2095</v>
      </c>
      <c r="I949" t="s">
        <v>2107</v>
      </c>
      <c r="J949">
        <v>4622</v>
      </c>
      <c r="K949">
        <v>46.71</v>
      </c>
      <c r="L949">
        <v>2.2999999999999998</v>
      </c>
      <c r="M949">
        <v>15.92</v>
      </c>
      <c r="N949">
        <v>2</v>
      </c>
      <c r="O949">
        <v>7</v>
      </c>
      <c r="P949">
        <v>222.88</v>
      </c>
      <c r="Q949">
        <v>0.6</v>
      </c>
      <c r="R949">
        <v>222.28</v>
      </c>
      <c r="AC949" s="1">
        <v>42656</v>
      </c>
    </row>
    <row r="950" spans="1:29" x14ac:dyDescent="0.25">
      <c r="A950" t="s">
        <v>327</v>
      </c>
      <c r="D950" t="s">
        <v>1330</v>
      </c>
      <c r="E950" t="s">
        <v>1999</v>
      </c>
      <c r="F950" t="s">
        <v>2079</v>
      </c>
      <c r="G950" t="s">
        <v>2090</v>
      </c>
      <c r="H950" t="s">
        <v>2095</v>
      </c>
      <c r="I950" t="s">
        <v>2102</v>
      </c>
      <c r="J950">
        <v>2309</v>
      </c>
      <c r="K950">
        <v>12.66</v>
      </c>
      <c r="L950">
        <v>4</v>
      </c>
      <c r="M950">
        <v>28.4</v>
      </c>
      <c r="N950">
        <v>4</v>
      </c>
      <c r="O950">
        <v>4</v>
      </c>
      <c r="P950">
        <v>454.4</v>
      </c>
      <c r="Q950">
        <v>3.87</v>
      </c>
      <c r="R950">
        <v>450.53</v>
      </c>
      <c r="AC950" s="1">
        <v>43401</v>
      </c>
    </row>
    <row r="951" spans="1:29" x14ac:dyDescent="0.25">
      <c r="A951" t="s">
        <v>554</v>
      </c>
      <c r="D951" t="s">
        <v>1548</v>
      </c>
      <c r="E951" t="s">
        <v>2010</v>
      </c>
      <c r="F951" t="s">
        <v>2080</v>
      </c>
      <c r="G951" t="s">
        <v>2090</v>
      </c>
      <c r="H951" t="s">
        <v>2092</v>
      </c>
      <c r="I951" t="s">
        <v>2099</v>
      </c>
      <c r="J951">
        <v>3859</v>
      </c>
      <c r="K951">
        <v>9.43</v>
      </c>
      <c r="L951">
        <v>3.1</v>
      </c>
      <c r="M951">
        <v>23.32</v>
      </c>
      <c r="N951">
        <v>3</v>
      </c>
      <c r="O951">
        <v>3</v>
      </c>
      <c r="P951">
        <v>209.88000000000002</v>
      </c>
      <c r="Q951">
        <v>2.35</v>
      </c>
      <c r="R951">
        <v>207.53</v>
      </c>
      <c r="AC951" s="1">
        <v>41814</v>
      </c>
    </row>
    <row r="952" spans="1:29" x14ac:dyDescent="0.25">
      <c r="A952" t="s">
        <v>575</v>
      </c>
      <c r="D952" t="s">
        <v>1566</v>
      </c>
      <c r="E952" t="s">
        <v>2026</v>
      </c>
      <c r="F952" t="s">
        <v>2074</v>
      </c>
      <c r="G952" t="s">
        <v>2090</v>
      </c>
      <c r="H952" t="s">
        <v>2093</v>
      </c>
      <c r="I952" t="s">
        <v>2102</v>
      </c>
      <c r="J952">
        <v>3033</v>
      </c>
      <c r="K952">
        <v>45.16</v>
      </c>
      <c r="L952">
        <v>4.8</v>
      </c>
      <c r="M952">
        <v>13.39</v>
      </c>
      <c r="N952">
        <v>4</v>
      </c>
      <c r="O952">
        <v>7</v>
      </c>
      <c r="P952">
        <v>374.92</v>
      </c>
      <c r="Q952">
        <v>5.23</v>
      </c>
      <c r="R952">
        <v>369.69</v>
      </c>
      <c r="AC952" s="1">
        <v>40720</v>
      </c>
    </row>
    <row r="953" spans="1:29" x14ac:dyDescent="0.25">
      <c r="A953" t="s">
        <v>588</v>
      </c>
      <c r="D953" t="s">
        <v>1575</v>
      </c>
      <c r="E953" t="s">
        <v>2044</v>
      </c>
      <c r="F953" t="s">
        <v>2081</v>
      </c>
      <c r="G953" t="s">
        <v>2090</v>
      </c>
      <c r="H953" t="s">
        <v>2093</v>
      </c>
      <c r="I953" t="s">
        <v>2098</v>
      </c>
      <c r="J953">
        <v>4206</v>
      </c>
      <c r="K953">
        <v>26.97</v>
      </c>
      <c r="L953">
        <v>2.1</v>
      </c>
      <c r="M953">
        <v>21.64</v>
      </c>
      <c r="N953">
        <v>1</v>
      </c>
      <c r="O953">
        <v>7</v>
      </c>
      <c r="P953">
        <v>151.48000000000002</v>
      </c>
      <c r="Q953">
        <v>4.8</v>
      </c>
      <c r="R953">
        <v>146.68</v>
      </c>
      <c r="AC953" s="1">
        <v>42450</v>
      </c>
    </row>
    <row r="954" spans="1:29" x14ac:dyDescent="0.25">
      <c r="A954" t="s">
        <v>662</v>
      </c>
      <c r="D954" t="s">
        <v>1646</v>
      </c>
      <c r="E954" t="s">
        <v>2007</v>
      </c>
      <c r="F954" t="s">
        <v>2080</v>
      </c>
      <c r="G954" t="s">
        <v>2090</v>
      </c>
      <c r="H954" t="s">
        <v>2096</v>
      </c>
      <c r="I954" t="s">
        <v>2104</v>
      </c>
      <c r="J954">
        <v>1035</v>
      </c>
      <c r="K954">
        <v>38.700000000000003</v>
      </c>
      <c r="L954">
        <v>4.7</v>
      </c>
      <c r="M954">
        <v>13.67</v>
      </c>
      <c r="N954">
        <v>1</v>
      </c>
      <c r="O954">
        <v>6</v>
      </c>
      <c r="P954">
        <v>82.02</v>
      </c>
      <c r="Q954">
        <v>6.73</v>
      </c>
      <c r="R954">
        <v>75.290000000000006</v>
      </c>
      <c r="AC954" s="1">
        <v>43428</v>
      </c>
    </row>
    <row r="955" spans="1:29" x14ac:dyDescent="0.25">
      <c r="A955" t="s">
        <v>705</v>
      </c>
      <c r="D955" t="s">
        <v>1405</v>
      </c>
      <c r="E955" t="s">
        <v>2018</v>
      </c>
      <c r="F955" t="s">
        <v>2075</v>
      </c>
      <c r="G955" t="s">
        <v>2090</v>
      </c>
      <c r="H955" t="s">
        <v>2095</v>
      </c>
      <c r="I955" t="s">
        <v>2110</v>
      </c>
      <c r="J955">
        <v>3357</v>
      </c>
      <c r="K955">
        <v>29.24</v>
      </c>
      <c r="L955">
        <v>4.7</v>
      </c>
      <c r="M955">
        <v>5.64</v>
      </c>
      <c r="N955">
        <v>3</v>
      </c>
      <c r="O955">
        <v>7</v>
      </c>
      <c r="P955">
        <v>118.43999999999998</v>
      </c>
      <c r="Q955">
        <v>3.5</v>
      </c>
      <c r="R955">
        <v>114.94</v>
      </c>
      <c r="AC955" s="1">
        <v>41245</v>
      </c>
    </row>
    <row r="956" spans="1:29" x14ac:dyDescent="0.25">
      <c r="A956" t="s">
        <v>740</v>
      </c>
      <c r="D956" t="s">
        <v>1718</v>
      </c>
      <c r="E956" t="s">
        <v>1984</v>
      </c>
      <c r="F956" t="s">
        <v>2080</v>
      </c>
      <c r="G956" t="s">
        <v>2090</v>
      </c>
      <c r="H956" t="s">
        <v>2096</v>
      </c>
      <c r="I956" t="s">
        <v>2105</v>
      </c>
      <c r="J956">
        <v>75</v>
      </c>
      <c r="K956">
        <v>47.82</v>
      </c>
      <c r="L956">
        <v>3</v>
      </c>
      <c r="M956">
        <v>11.69</v>
      </c>
      <c r="N956">
        <v>5</v>
      </c>
      <c r="O956">
        <v>4</v>
      </c>
      <c r="P956">
        <v>233.79999999999998</v>
      </c>
      <c r="Q956">
        <v>1.0900000000000001</v>
      </c>
      <c r="R956">
        <v>232.71</v>
      </c>
      <c r="AC956" s="1">
        <v>42175</v>
      </c>
    </row>
    <row r="957" spans="1:29" x14ac:dyDescent="0.25">
      <c r="A957" t="s">
        <v>767</v>
      </c>
      <c r="D957" t="s">
        <v>1743</v>
      </c>
      <c r="E957" t="s">
        <v>2020</v>
      </c>
      <c r="F957" t="s">
        <v>2082</v>
      </c>
      <c r="G957" t="s">
        <v>2090</v>
      </c>
      <c r="H957" t="s">
        <v>2092</v>
      </c>
      <c r="I957" t="s">
        <v>2097</v>
      </c>
      <c r="J957">
        <v>2541</v>
      </c>
      <c r="K957">
        <v>44.57</v>
      </c>
      <c r="L957">
        <v>4</v>
      </c>
      <c r="M957">
        <v>23.92</v>
      </c>
      <c r="N957">
        <v>4</v>
      </c>
      <c r="O957">
        <v>6</v>
      </c>
      <c r="P957">
        <v>574.08000000000004</v>
      </c>
      <c r="Q957">
        <v>2.42</v>
      </c>
      <c r="R957">
        <v>571.66</v>
      </c>
      <c r="AC957" s="1">
        <v>42675</v>
      </c>
    </row>
    <row r="958" spans="1:29" x14ac:dyDescent="0.25">
      <c r="A958" t="s">
        <v>796</v>
      </c>
      <c r="D958" t="s">
        <v>1770</v>
      </c>
      <c r="E958" t="s">
        <v>2005</v>
      </c>
      <c r="F958" t="s">
        <v>2074</v>
      </c>
      <c r="G958" t="s">
        <v>2090</v>
      </c>
      <c r="H958" t="s">
        <v>2095</v>
      </c>
      <c r="I958" t="s">
        <v>2097</v>
      </c>
      <c r="J958">
        <v>1085</v>
      </c>
      <c r="K958">
        <v>48.2</v>
      </c>
      <c r="L958">
        <v>3.1</v>
      </c>
      <c r="M958">
        <v>35.39</v>
      </c>
      <c r="N958">
        <v>1</v>
      </c>
      <c r="O958">
        <v>5</v>
      </c>
      <c r="P958">
        <v>176.95</v>
      </c>
      <c r="Q958">
        <v>6.78</v>
      </c>
      <c r="R958">
        <v>170.17</v>
      </c>
      <c r="AC958" s="1">
        <v>41813</v>
      </c>
    </row>
    <row r="959" spans="1:29" x14ac:dyDescent="0.25">
      <c r="A959" t="s">
        <v>963</v>
      </c>
      <c r="D959" t="s">
        <v>1924</v>
      </c>
      <c r="E959" t="s">
        <v>2018</v>
      </c>
      <c r="F959" t="s">
        <v>2079</v>
      </c>
      <c r="G959" t="s">
        <v>2090</v>
      </c>
      <c r="H959" t="s">
        <v>2096</v>
      </c>
      <c r="I959" t="s">
        <v>2104</v>
      </c>
      <c r="J959">
        <v>2981</v>
      </c>
      <c r="K959">
        <v>36.119999999999997</v>
      </c>
      <c r="L959">
        <v>4.9000000000000004</v>
      </c>
      <c r="M959">
        <v>37.700000000000003</v>
      </c>
      <c r="N959">
        <v>1</v>
      </c>
      <c r="O959">
        <v>8</v>
      </c>
      <c r="P959">
        <v>301.60000000000002</v>
      </c>
      <c r="Q959">
        <v>4.76</v>
      </c>
      <c r="R959">
        <v>296.83999999999997</v>
      </c>
      <c r="AC959" s="1">
        <v>43005</v>
      </c>
    </row>
    <row r="960" spans="1:29" x14ac:dyDescent="0.25">
      <c r="A960" t="s">
        <v>435</v>
      </c>
      <c r="D960" t="s">
        <v>1433</v>
      </c>
      <c r="E960" t="s">
        <v>2071</v>
      </c>
      <c r="F960" t="s">
        <v>2082</v>
      </c>
      <c r="G960" t="s">
        <v>2083</v>
      </c>
      <c r="H960" t="s">
        <v>2094</v>
      </c>
      <c r="I960" t="s">
        <v>2098</v>
      </c>
      <c r="J960">
        <v>4320</v>
      </c>
      <c r="K960">
        <v>17.77</v>
      </c>
      <c r="L960">
        <v>1.5</v>
      </c>
      <c r="M960">
        <v>35.44</v>
      </c>
      <c r="N960">
        <v>5</v>
      </c>
      <c r="O960">
        <v>7</v>
      </c>
      <c r="P960">
        <v>1240.3999999999999</v>
      </c>
      <c r="Q960">
        <v>4.3899999999999997</v>
      </c>
      <c r="R960">
        <v>1236.01</v>
      </c>
      <c r="AC960" s="1">
        <v>43100</v>
      </c>
    </row>
    <row r="961" spans="1:29" x14ac:dyDescent="0.25">
      <c r="A961" t="s">
        <v>449</v>
      </c>
      <c r="D961" t="s">
        <v>1447</v>
      </c>
      <c r="E961" t="s">
        <v>2046</v>
      </c>
      <c r="F961" t="s">
        <v>2075</v>
      </c>
      <c r="G961" t="s">
        <v>2083</v>
      </c>
      <c r="H961" t="s">
        <v>2096</v>
      </c>
      <c r="I961" t="s">
        <v>2109</v>
      </c>
      <c r="J961">
        <v>2533</v>
      </c>
      <c r="K961">
        <v>32.76</v>
      </c>
      <c r="L961">
        <v>2.1</v>
      </c>
      <c r="M961">
        <v>19.48</v>
      </c>
      <c r="N961">
        <v>3</v>
      </c>
      <c r="O961">
        <v>17</v>
      </c>
      <c r="P961">
        <v>993.48</v>
      </c>
      <c r="Q961">
        <v>4.4000000000000004</v>
      </c>
      <c r="R961">
        <v>989.08</v>
      </c>
      <c r="AC961" s="1">
        <v>41925</v>
      </c>
    </row>
    <row r="962" spans="1:29" x14ac:dyDescent="0.25">
      <c r="A962" t="s">
        <v>505</v>
      </c>
      <c r="D962" t="s">
        <v>1459</v>
      </c>
      <c r="E962" t="s">
        <v>1977</v>
      </c>
      <c r="F962" t="s">
        <v>2074</v>
      </c>
      <c r="G962" t="s">
        <v>2083</v>
      </c>
      <c r="H962" t="s">
        <v>2096</v>
      </c>
      <c r="I962" t="s">
        <v>2110</v>
      </c>
      <c r="J962">
        <v>3018</v>
      </c>
      <c r="K962">
        <v>13.59</v>
      </c>
      <c r="L962">
        <v>4.3</v>
      </c>
      <c r="M962">
        <v>18.399999999999999</v>
      </c>
      <c r="N962">
        <v>4</v>
      </c>
      <c r="O962">
        <v>19</v>
      </c>
      <c r="P962">
        <v>1398.3999999999999</v>
      </c>
      <c r="Q962">
        <v>1.86</v>
      </c>
      <c r="R962">
        <v>1396.54</v>
      </c>
      <c r="AC962" s="1">
        <v>40762</v>
      </c>
    </row>
    <row r="963" spans="1:29" x14ac:dyDescent="0.25">
      <c r="A963" t="s">
        <v>559</v>
      </c>
      <c r="D963" t="s">
        <v>1552</v>
      </c>
      <c r="E963" t="s">
        <v>2001</v>
      </c>
      <c r="F963" t="s">
        <v>2080</v>
      </c>
      <c r="G963" t="s">
        <v>2083</v>
      </c>
      <c r="H963" t="s">
        <v>2092</v>
      </c>
      <c r="I963" t="s">
        <v>2103</v>
      </c>
      <c r="J963">
        <v>1873</v>
      </c>
      <c r="K963">
        <v>35.94</v>
      </c>
      <c r="L963">
        <v>3.1</v>
      </c>
      <c r="M963">
        <v>21.46</v>
      </c>
      <c r="N963">
        <v>3</v>
      </c>
      <c r="O963">
        <v>15</v>
      </c>
      <c r="P963">
        <v>965.69999999999993</v>
      </c>
      <c r="Q963">
        <v>7.55</v>
      </c>
      <c r="R963">
        <v>958.15</v>
      </c>
      <c r="AC963" s="1">
        <v>41991</v>
      </c>
    </row>
    <row r="964" spans="1:29" x14ac:dyDescent="0.25">
      <c r="A964" t="s">
        <v>572</v>
      </c>
      <c r="D964" t="s">
        <v>1563</v>
      </c>
      <c r="E964" t="s">
        <v>2037</v>
      </c>
      <c r="F964" t="s">
        <v>2074</v>
      </c>
      <c r="G964" t="s">
        <v>2083</v>
      </c>
      <c r="H964" t="s">
        <v>2094</v>
      </c>
      <c r="I964" t="s">
        <v>2098</v>
      </c>
      <c r="J964">
        <v>3958</v>
      </c>
      <c r="K964">
        <v>43.69</v>
      </c>
      <c r="L964">
        <v>3.9</v>
      </c>
      <c r="M964">
        <v>13.92</v>
      </c>
      <c r="N964">
        <v>2</v>
      </c>
      <c r="O964">
        <v>16</v>
      </c>
      <c r="P964">
        <v>445.44</v>
      </c>
      <c r="Q964">
        <v>6.88</v>
      </c>
      <c r="R964">
        <v>438.56</v>
      </c>
      <c r="AC964" s="1">
        <v>42801</v>
      </c>
    </row>
    <row r="965" spans="1:29" x14ac:dyDescent="0.25">
      <c r="A965" t="s">
        <v>622</v>
      </c>
      <c r="D965" t="s">
        <v>1607</v>
      </c>
      <c r="E965" t="s">
        <v>2012</v>
      </c>
      <c r="F965" t="s">
        <v>2073</v>
      </c>
      <c r="G965" t="s">
        <v>2083</v>
      </c>
      <c r="H965" t="s">
        <v>2093</v>
      </c>
      <c r="I965" t="s">
        <v>2104</v>
      </c>
      <c r="J965">
        <v>1954</v>
      </c>
      <c r="K965">
        <v>27.72</v>
      </c>
      <c r="L965">
        <v>4</v>
      </c>
      <c r="M965">
        <v>37.97</v>
      </c>
      <c r="N965">
        <v>4</v>
      </c>
      <c r="O965">
        <v>7</v>
      </c>
      <c r="P965">
        <v>1063.1599999999999</v>
      </c>
      <c r="Q965">
        <v>8.44</v>
      </c>
      <c r="R965">
        <v>1054.72</v>
      </c>
      <c r="AC965" s="1">
        <v>41071</v>
      </c>
    </row>
    <row r="966" spans="1:29" x14ac:dyDescent="0.25">
      <c r="A966" t="s">
        <v>647</v>
      </c>
      <c r="D966" t="s">
        <v>1582</v>
      </c>
      <c r="E966" t="s">
        <v>2038</v>
      </c>
      <c r="F966" t="s">
        <v>2075</v>
      </c>
      <c r="G966" t="s">
        <v>2083</v>
      </c>
      <c r="H966" t="s">
        <v>2094</v>
      </c>
      <c r="I966" t="s">
        <v>2111</v>
      </c>
      <c r="J966">
        <v>4609</v>
      </c>
      <c r="K966">
        <v>44.75</v>
      </c>
      <c r="L966">
        <v>1.8</v>
      </c>
      <c r="M966">
        <v>29.8</v>
      </c>
      <c r="N966">
        <v>1</v>
      </c>
      <c r="O966">
        <v>3</v>
      </c>
      <c r="P966">
        <v>89.4</v>
      </c>
      <c r="Q966">
        <v>7.64</v>
      </c>
      <c r="R966">
        <v>81.760000000000005</v>
      </c>
      <c r="AC966" s="1">
        <v>43415</v>
      </c>
    </row>
    <row r="967" spans="1:29" x14ac:dyDescent="0.25">
      <c r="A967" t="s">
        <v>666</v>
      </c>
      <c r="D967" t="s">
        <v>1650</v>
      </c>
      <c r="E967" t="s">
        <v>2041</v>
      </c>
      <c r="F967" t="s">
        <v>2080</v>
      </c>
      <c r="G967" t="s">
        <v>2083</v>
      </c>
      <c r="H967" t="s">
        <v>2096</v>
      </c>
      <c r="I967" t="s">
        <v>2105</v>
      </c>
      <c r="J967">
        <v>3721</v>
      </c>
      <c r="K967">
        <v>42.28</v>
      </c>
      <c r="L967">
        <v>1.2</v>
      </c>
      <c r="M967">
        <v>24.48</v>
      </c>
      <c r="N967">
        <v>1</v>
      </c>
      <c r="O967">
        <v>6</v>
      </c>
      <c r="P967">
        <v>146.88</v>
      </c>
      <c r="Q967">
        <v>8.83</v>
      </c>
      <c r="R967">
        <v>138.05000000000001</v>
      </c>
      <c r="AC967" s="1">
        <v>41091</v>
      </c>
    </row>
    <row r="968" spans="1:29" x14ac:dyDescent="0.25">
      <c r="A968" t="s">
        <v>717</v>
      </c>
      <c r="D968" t="s">
        <v>1696</v>
      </c>
      <c r="E968" t="s">
        <v>1982</v>
      </c>
      <c r="F968" t="s">
        <v>2077</v>
      </c>
      <c r="G968" t="s">
        <v>2083</v>
      </c>
      <c r="H968" t="s">
        <v>2095</v>
      </c>
      <c r="I968" t="s">
        <v>2106</v>
      </c>
      <c r="J968">
        <v>334</v>
      </c>
      <c r="K968">
        <v>35.68</v>
      </c>
      <c r="L968">
        <v>3.8</v>
      </c>
      <c r="M968">
        <v>6.01</v>
      </c>
      <c r="N968">
        <v>2</v>
      </c>
      <c r="O968">
        <v>7</v>
      </c>
      <c r="P968">
        <v>84.14</v>
      </c>
      <c r="Q968">
        <v>7.7</v>
      </c>
      <c r="R968">
        <v>76.44</v>
      </c>
      <c r="AC968" s="1">
        <v>43201</v>
      </c>
    </row>
    <row r="969" spans="1:29" x14ac:dyDescent="0.25">
      <c r="A969" t="s">
        <v>902</v>
      </c>
      <c r="D969" t="s">
        <v>1867</v>
      </c>
      <c r="E969" t="s">
        <v>2063</v>
      </c>
      <c r="F969" t="s">
        <v>2081</v>
      </c>
      <c r="G969" t="s">
        <v>2083</v>
      </c>
      <c r="H969" t="s">
        <v>2095</v>
      </c>
      <c r="I969" t="s">
        <v>2097</v>
      </c>
      <c r="J969">
        <v>3144</v>
      </c>
      <c r="K969">
        <v>13.12</v>
      </c>
      <c r="L969">
        <v>4.8</v>
      </c>
      <c r="M969">
        <v>7.36</v>
      </c>
      <c r="N969">
        <v>5</v>
      </c>
      <c r="O969">
        <v>3</v>
      </c>
      <c r="P969">
        <v>110.4</v>
      </c>
      <c r="Q969">
        <v>7.02</v>
      </c>
      <c r="R969">
        <v>103.38</v>
      </c>
      <c r="AC969" s="1">
        <v>42916</v>
      </c>
    </row>
    <row r="970" spans="1:29" x14ac:dyDescent="0.25">
      <c r="A970" t="s">
        <v>47</v>
      </c>
      <c r="D970" t="s">
        <v>1057</v>
      </c>
      <c r="E970" t="s">
        <v>1999</v>
      </c>
      <c r="F970" t="s">
        <v>2078</v>
      </c>
      <c r="G970" t="s">
        <v>2087</v>
      </c>
      <c r="H970" t="s">
        <v>2094</v>
      </c>
      <c r="I970" t="s">
        <v>2108</v>
      </c>
      <c r="J970">
        <v>2254</v>
      </c>
      <c r="K970">
        <v>29.38</v>
      </c>
      <c r="L970">
        <v>2.7</v>
      </c>
      <c r="M970">
        <v>38.97</v>
      </c>
      <c r="N970">
        <v>3</v>
      </c>
      <c r="O970">
        <v>20</v>
      </c>
      <c r="P970">
        <v>2338.1999999999998</v>
      </c>
      <c r="Q970">
        <v>2.39</v>
      </c>
      <c r="R970">
        <v>2335.81</v>
      </c>
      <c r="AC970" s="1">
        <v>41261</v>
      </c>
    </row>
    <row r="971" spans="1:29" x14ac:dyDescent="0.25">
      <c r="A971" t="s">
        <v>170</v>
      </c>
      <c r="D971" t="s">
        <v>1179</v>
      </c>
      <c r="E971" t="s">
        <v>2018</v>
      </c>
      <c r="F971" t="s">
        <v>2080</v>
      </c>
      <c r="G971" t="s">
        <v>2087</v>
      </c>
      <c r="H971" t="s">
        <v>2092</v>
      </c>
      <c r="I971" t="s">
        <v>2102</v>
      </c>
      <c r="J971">
        <v>4184</v>
      </c>
      <c r="K971">
        <v>18.989999999999998</v>
      </c>
      <c r="L971">
        <v>1.2</v>
      </c>
      <c r="M971">
        <v>30.34</v>
      </c>
      <c r="N971">
        <v>1</v>
      </c>
      <c r="O971">
        <v>14</v>
      </c>
      <c r="P971">
        <v>424.76</v>
      </c>
      <c r="Q971">
        <v>2.0299999999999998</v>
      </c>
      <c r="R971">
        <v>422.73</v>
      </c>
      <c r="AC971" s="1">
        <v>42487</v>
      </c>
    </row>
    <row r="972" spans="1:29" x14ac:dyDescent="0.25">
      <c r="A972" t="s">
        <v>177</v>
      </c>
      <c r="D972" t="s">
        <v>1186</v>
      </c>
      <c r="E972" t="s">
        <v>1981</v>
      </c>
      <c r="F972" t="s">
        <v>2073</v>
      </c>
      <c r="G972" t="s">
        <v>2087</v>
      </c>
      <c r="H972" t="s">
        <v>2095</v>
      </c>
      <c r="I972" t="s">
        <v>2105</v>
      </c>
      <c r="J972">
        <v>1583</v>
      </c>
      <c r="K972">
        <v>15.09</v>
      </c>
      <c r="L972">
        <v>2.2000000000000002</v>
      </c>
      <c r="M972">
        <v>28.31</v>
      </c>
      <c r="N972">
        <v>4</v>
      </c>
      <c r="O972">
        <v>8</v>
      </c>
      <c r="P972">
        <v>905.92</v>
      </c>
      <c r="Q972">
        <v>0.64</v>
      </c>
      <c r="R972">
        <v>905.28</v>
      </c>
      <c r="AC972" s="1">
        <v>42375</v>
      </c>
    </row>
    <row r="973" spans="1:29" x14ac:dyDescent="0.25">
      <c r="A973" t="s">
        <v>313</v>
      </c>
      <c r="D973" t="s">
        <v>1317</v>
      </c>
      <c r="E973" t="s">
        <v>2053</v>
      </c>
      <c r="F973" t="s">
        <v>2077</v>
      </c>
      <c r="G973" t="s">
        <v>2087</v>
      </c>
      <c r="H973" t="s">
        <v>2094</v>
      </c>
      <c r="I973" t="s">
        <v>2099</v>
      </c>
      <c r="J973">
        <v>4549</v>
      </c>
      <c r="K973">
        <v>42.44</v>
      </c>
      <c r="L973">
        <v>3.1</v>
      </c>
      <c r="M973">
        <v>29.43</v>
      </c>
      <c r="N973">
        <v>5</v>
      </c>
      <c r="O973">
        <v>16</v>
      </c>
      <c r="P973">
        <v>2354.4</v>
      </c>
      <c r="Q973">
        <v>3.66</v>
      </c>
      <c r="R973">
        <v>2350.7399999999998</v>
      </c>
      <c r="AC973" s="1">
        <v>43227</v>
      </c>
    </row>
    <row r="974" spans="1:29" x14ac:dyDescent="0.25">
      <c r="A974" t="s">
        <v>385</v>
      </c>
      <c r="D974" t="s">
        <v>1386</v>
      </c>
      <c r="E974" t="s">
        <v>2069</v>
      </c>
      <c r="F974" t="s">
        <v>2082</v>
      </c>
      <c r="G974" t="s">
        <v>2087</v>
      </c>
      <c r="H974" t="s">
        <v>2096</v>
      </c>
      <c r="I974" t="s">
        <v>2110</v>
      </c>
      <c r="J974">
        <v>4966</v>
      </c>
      <c r="K974">
        <v>13.99</v>
      </c>
      <c r="L974">
        <v>2.5</v>
      </c>
      <c r="M974">
        <v>34.44</v>
      </c>
      <c r="N974">
        <v>5</v>
      </c>
      <c r="O974">
        <v>4</v>
      </c>
      <c r="P974">
        <v>688.8</v>
      </c>
      <c r="Q974">
        <v>9.8800000000000008</v>
      </c>
      <c r="R974">
        <v>678.92</v>
      </c>
      <c r="AC974" s="1">
        <v>43077</v>
      </c>
    </row>
    <row r="975" spans="1:29" x14ac:dyDescent="0.25">
      <c r="A975" t="s">
        <v>387</v>
      </c>
      <c r="D975" t="s">
        <v>1388</v>
      </c>
      <c r="E975" t="s">
        <v>1977</v>
      </c>
      <c r="F975" t="s">
        <v>2080</v>
      </c>
      <c r="G975" t="s">
        <v>2087</v>
      </c>
      <c r="H975" t="s">
        <v>2096</v>
      </c>
      <c r="I975" t="s">
        <v>2102</v>
      </c>
      <c r="J975">
        <v>126</v>
      </c>
      <c r="K975">
        <v>8.14</v>
      </c>
      <c r="L975">
        <v>2.8</v>
      </c>
      <c r="M975">
        <v>11.79</v>
      </c>
      <c r="N975">
        <v>2</v>
      </c>
      <c r="O975">
        <v>16</v>
      </c>
      <c r="P975">
        <v>377.28</v>
      </c>
      <c r="Q975">
        <v>1.96</v>
      </c>
      <c r="R975">
        <v>375.32</v>
      </c>
      <c r="AC975" s="1">
        <v>40456</v>
      </c>
    </row>
    <row r="976" spans="1:29" x14ac:dyDescent="0.25">
      <c r="A976" t="s">
        <v>589</v>
      </c>
      <c r="D976" t="s">
        <v>1576</v>
      </c>
      <c r="E976" t="s">
        <v>2011</v>
      </c>
      <c r="F976" t="s">
        <v>2081</v>
      </c>
      <c r="G976" t="s">
        <v>2087</v>
      </c>
      <c r="H976" t="s">
        <v>2092</v>
      </c>
      <c r="I976" t="s">
        <v>2104</v>
      </c>
      <c r="J976">
        <v>4377</v>
      </c>
      <c r="K976">
        <v>39.880000000000003</v>
      </c>
      <c r="L976">
        <v>4.7</v>
      </c>
      <c r="M976">
        <v>11.11</v>
      </c>
      <c r="N976">
        <v>2</v>
      </c>
      <c r="O976">
        <v>6</v>
      </c>
      <c r="P976">
        <v>133.32</v>
      </c>
      <c r="Q976">
        <v>6.42</v>
      </c>
      <c r="R976">
        <v>126.9</v>
      </c>
      <c r="AC976" s="1">
        <v>40571</v>
      </c>
    </row>
    <row r="977" spans="1:29" x14ac:dyDescent="0.25">
      <c r="A977" t="s">
        <v>656</v>
      </c>
      <c r="D977" t="s">
        <v>1640</v>
      </c>
      <c r="E977" t="s">
        <v>2035</v>
      </c>
      <c r="F977" t="s">
        <v>2078</v>
      </c>
      <c r="G977" t="s">
        <v>2087</v>
      </c>
      <c r="H977" t="s">
        <v>2096</v>
      </c>
      <c r="I977" t="s">
        <v>2104</v>
      </c>
      <c r="J977">
        <v>398</v>
      </c>
      <c r="K977">
        <v>5.26</v>
      </c>
      <c r="L977">
        <v>4.5999999999999996</v>
      </c>
      <c r="M977">
        <v>5.12</v>
      </c>
      <c r="N977">
        <v>3</v>
      </c>
      <c r="O977">
        <v>18</v>
      </c>
      <c r="P977">
        <v>276.48</v>
      </c>
      <c r="Q977">
        <v>2.5299999999999998</v>
      </c>
      <c r="R977">
        <v>273.95</v>
      </c>
      <c r="AC977" s="1">
        <v>42721</v>
      </c>
    </row>
    <row r="978" spans="1:29" x14ac:dyDescent="0.25">
      <c r="A978" t="s">
        <v>727</v>
      </c>
      <c r="D978" t="s">
        <v>1706</v>
      </c>
      <c r="E978" t="s">
        <v>2043</v>
      </c>
      <c r="F978" t="s">
        <v>2074</v>
      </c>
      <c r="G978" t="s">
        <v>2087</v>
      </c>
      <c r="H978" t="s">
        <v>2093</v>
      </c>
      <c r="I978" t="s">
        <v>2101</v>
      </c>
      <c r="J978">
        <v>2542</v>
      </c>
      <c r="K978">
        <v>46.43</v>
      </c>
      <c r="L978">
        <v>3.8</v>
      </c>
      <c r="M978">
        <v>18.14</v>
      </c>
      <c r="N978">
        <v>4</v>
      </c>
      <c r="O978">
        <v>14</v>
      </c>
      <c r="P978">
        <v>1015.84</v>
      </c>
      <c r="Q978">
        <v>9.91</v>
      </c>
      <c r="R978">
        <v>1005.93</v>
      </c>
      <c r="AC978" s="1">
        <v>41335</v>
      </c>
    </row>
    <row r="979" spans="1:29" x14ac:dyDescent="0.25">
      <c r="A979" t="s">
        <v>753</v>
      </c>
      <c r="D979" t="s">
        <v>1729</v>
      </c>
      <c r="E979" t="s">
        <v>1993</v>
      </c>
      <c r="F979" t="s">
        <v>2082</v>
      </c>
      <c r="G979" t="s">
        <v>2087</v>
      </c>
      <c r="H979" t="s">
        <v>2094</v>
      </c>
      <c r="I979" t="s">
        <v>2108</v>
      </c>
      <c r="J979">
        <v>3004</v>
      </c>
      <c r="K979">
        <v>33.54</v>
      </c>
      <c r="L979">
        <v>2.5</v>
      </c>
      <c r="M979">
        <v>23.17</v>
      </c>
      <c r="N979">
        <v>5</v>
      </c>
      <c r="O979">
        <v>11</v>
      </c>
      <c r="P979">
        <v>1274.3500000000001</v>
      </c>
      <c r="Q979">
        <v>0.57999999999999996</v>
      </c>
      <c r="R979">
        <v>1273.77</v>
      </c>
      <c r="AC979" s="1">
        <v>41855</v>
      </c>
    </row>
    <row r="980" spans="1:29" x14ac:dyDescent="0.25">
      <c r="A980" t="s">
        <v>813</v>
      </c>
      <c r="D980" t="s">
        <v>1784</v>
      </c>
      <c r="E980" t="s">
        <v>2010</v>
      </c>
      <c r="F980" t="s">
        <v>2082</v>
      </c>
      <c r="G980" t="s">
        <v>2087</v>
      </c>
      <c r="H980" t="s">
        <v>2093</v>
      </c>
      <c r="I980" t="s">
        <v>2097</v>
      </c>
      <c r="J980">
        <v>1613</v>
      </c>
      <c r="K980">
        <v>34.64</v>
      </c>
      <c r="L980">
        <v>2</v>
      </c>
      <c r="M980">
        <v>28.9</v>
      </c>
      <c r="N980">
        <v>4</v>
      </c>
      <c r="O980">
        <v>15</v>
      </c>
      <c r="P980">
        <v>1734</v>
      </c>
      <c r="Q980">
        <v>6.91</v>
      </c>
      <c r="R980">
        <v>1727.09</v>
      </c>
      <c r="AC980" s="1">
        <v>42460</v>
      </c>
    </row>
    <row r="981" spans="1:29" x14ac:dyDescent="0.25">
      <c r="A981" t="s">
        <v>910</v>
      </c>
      <c r="D981" t="s">
        <v>1875</v>
      </c>
      <c r="E981" t="s">
        <v>2032</v>
      </c>
      <c r="F981" t="s">
        <v>2076</v>
      </c>
      <c r="G981" t="s">
        <v>2087</v>
      </c>
      <c r="H981" t="s">
        <v>2093</v>
      </c>
      <c r="I981" t="s">
        <v>2107</v>
      </c>
      <c r="J981">
        <v>603</v>
      </c>
      <c r="K981">
        <v>48.1</v>
      </c>
      <c r="L981">
        <v>1.4</v>
      </c>
      <c r="M981">
        <v>28.99</v>
      </c>
      <c r="N981">
        <v>2</v>
      </c>
      <c r="O981">
        <v>6</v>
      </c>
      <c r="P981">
        <v>347.88</v>
      </c>
      <c r="Q981">
        <v>3.63</v>
      </c>
      <c r="R981">
        <v>344.25</v>
      </c>
      <c r="AC981" s="1">
        <v>42650</v>
      </c>
    </row>
    <row r="982" spans="1:29" x14ac:dyDescent="0.25">
      <c r="A982" t="s">
        <v>988</v>
      </c>
      <c r="D982" t="s">
        <v>1947</v>
      </c>
      <c r="E982" t="s">
        <v>2059</v>
      </c>
      <c r="F982" t="s">
        <v>2074</v>
      </c>
      <c r="G982" t="s">
        <v>2087</v>
      </c>
      <c r="H982" t="s">
        <v>2092</v>
      </c>
      <c r="I982" t="s">
        <v>2107</v>
      </c>
      <c r="J982">
        <v>2581</v>
      </c>
      <c r="K982">
        <v>18.98</v>
      </c>
      <c r="L982">
        <v>3.8</v>
      </c>
      <c r="M982">
        <v>17.29</v>
      </c>
      <c r="N982">
        <v>2</v>
      </c>
      <c r="O982">
        <v>4</v>
      </c>
      <c r="P982">
        <v>138.32</v>
      </c>
      <c r="Q982">
        <v>4.34</v>
      </c>
      <c r="R982">
        <v>133.97999999999999</v>
      </c>
      <c r="AC982" s="1">
        <v>42628</v>
      </c>
    </row>
    <row r="983" spans="1:29" x14ac:dyDescent="0.25">
      <c r="A983" t="s">
        <v>96</v>
      </c>
      <c r="D983" t="s">
        <v>1106</v>
      </c>
      <c r="E983" t="s">
        <v>1978</v>
      </c>
      <c r="F983" t="s">
        <v>2081</v>
      </c>
      <c r="G983" t="s">
        <v>2088</v>
      </c>
      <c r="H983" t="s">
        <v>2095</v>
      </c>
      <c r="I983" t="s">
        <v>2107</v>
      </c>
      <c r="J983">
        <v>1357</v>
      </c>
      <c r="K983">
        <v>27.37</v>
      </c>
      <c r="L983">
        <v>4.0999999999999996</v>
      </c>
      <c r="M983">
        <v>8.85</v>
      </c>
      <c r="N983">
        <v>3</v>
      </c>
      <c r="O983">
        <v>11</v>
      </c>
      <c r="P983">
        <v>292.04999999999995</v>
      </c>
      <c r="Q983">
        <v>1.69</v>
      </c>
      <c r="R983">
        <v>290.36</v>
      </c>
      <c r="AC983" s="1">
        <v>41903</v>
      </c>
    </row>
    <row r="984" spans="1:29" x14ac:dyDescent="0.25">
      <c r="A984" t="s">
        <v>110</v>
      </c>
      <c r="D984" t="s">
        <v>1120</v>
      </c>
      <c r="E984" t="s">
        <v>1973</v>
      </c>
      <c r="F984" t="s">
        <v>2077</v>
      </c>
      <c r="G984" t="s">
        <v>2088</v>
      </c>
      <c r="H984" t="s">
        <v>2092</v>
      </c>
      <c r="I984" t="s">
        <v>2105</v>
      </c>
      <c r="J984">
        <v>1323</v>
      </c>
      <c r="K984">
        <v>36.840000000000003</v>
      </c>
      <c r="L984">
        <v>1.6</v>
      </c>
      <c r="M984">
        <v>25.29</v>
      </c>
      <c r="N984">
        <v>3</v>
      </c>
      <c r="O984">
        <v>4</v>
      </c>
      <c r="P984">
        <v>303.48</v>
      </c>
      <c r="Q984">
        <v>5.01</v>
      </c>
      <c r="R984">
        <v>298.47000000000003</v>
      </c>
      <c r="AC984" s="1">
        <v>43015</v>
      </c>
    </row>
    <row r="985" spans="1:29" x14ac:dyDescent="0.25">
      <c r="A985" t="s">
        <v>533</v>
      </c>
      <c r="D985" t="s">
        <v>1528</v>
      </c>
      <c r="E985" t="s">
        <v>2018</v>
      </c>
      <c r="F985" t="s">
        <v>2082</v>
      </c>
      <c r="G985" t="s">
        <v>2088</v>
      </c>
      <c r="H985" t="s">
        <v>2096</v>
      </c>
      <c r="I985" t="s">
        <v>2111</v>
      </c>
      <c r="J985">
        <v>2406</v>
      </c>
      <c r="K985">
        <v>38.979999999999997</v>
      </c>
      <c r="L985">
        <v>2.5</v>
      </c>
      <c r="M985">
        <v>38.6</v>
      </c>
      <c r="N985">
        <v>2</v>
      </c>
      <c r="O985">
        <v>1</v>
      </c>
      <c r="P985">
        <v>77.2</v>
      </c>
      <c r="Q985">
        <v>6.7</v>
      </c>
      <c r="R985">
        <v>70.5</v>
      </c>
      <c r="AC985" s="1">
        <v>43463</v>
      </c>
    </row>
    <row r="986" spans="1:29" x14ac:dyDescent="0.25">
      <c r="A986" t="s">
        <v>683</v>
      </c>
      <c r="D986" t="s">
        <v>1665</v>
      </c>
      <c r="E986" t="s">
        <v>2043</v>
      </c>
      <c r="F986" t="s">
        <v>2082</v>
      </c>
      <c r="G986" t="s">
        <v>2088</v>
      </c>
      <c r="H986" t="s">
        <v>2092</v>
      </c>
      <c r="I986" t="s">
        <v>2099</v>
      </c>
      <c r="J986">
        <v>2429</v>
      </c>
      <c r="K986">
        <v>16.100000000000001</v>
      </c>
      <c r="L986">
        <v>2.2000000000000002</v>
      </c>
      <c r="M986">
        <v>30.02</v>
      </c>
      <c r="N986">
        <v>2</v>
      </c>
      <c r="O986">
        <v>18</v>
      </c>
      <c r="P986">
        <v>1080.72</v>
      </c>
      <c r="Q986">
        <v>2.0499999999999998</v>
      </c>
      <c r="R986">
        <v>1078.67</v>
      </c>
      <c r="AC986" s="1">
        <v>43289</v>
      </c>
    </row>
    <row r="987" spans="1:29" x14ac:dyDescent="0.25">
      <c r="A987" t="s">
        <v>724</v>
      </c>
      <c r="D987" t="s">
        <v>1703</v>
      </c>
      <c r="E987" t="s">
        <v>2018</v>
      </c>
      <c r="F987" t="s">
        <v>2073</v>
      </c>
      <c r="G987" t="s">
        <v>2088</v>
      </c>
      <c r="H987" t="s">
        <v>2096</v>
      </c>
      <c r="I987" t="s">
        <v>2109</v>
      </c>
      <c r="J987">
        <v>78</v>
      </c>
      <c r="K987">
        <v>13.9</v>
      </c>
      <c r="L987">
        <v>2.1</v>
      </c>
      <c r="M987">
        <v>33.03</v>
      </c>
      <c r="N987">
        <v>5</v>
      </c>
      <c r="O987">
        <v>3</v>
      </c>
      <c r="P987">
        <v>495.45000000000005</v>
      </c>
      <c r="Q987">
        <v>1.68</v>
      </c>
      <c r="R987">
        <v>493.77</v>
      </c>
      <c r="AC987" s="1">
        <v>42669</v>
      </c>
    </row>
    <row r="988" spans="1:29" x14ac:dyDescent="0.25">
      <c r="A988" t="s">
        <v>837</v>
      </c>
      <c r="D988" t="s">
        <v>1806</v>
      </c>
      <c r="E988" t="s">
        <v>2022</v>
      </c>
      <c r="F988" t="s">
        <v>2080</v>
      </c>
      <c r="G988" t="s">
        <v>2088</v>
      </c>
      <c r="H988" t="s">
        <v>2092</v>
      </c>
      <c r="I988" t="s">
        <v>2106</v>
      </c>
      <c r="J988">
        <v>1694</v>
      </c>
      <c r="K988">
        <v>6.88</v>
      </c>
      <c r="L988">
        <v>2.2999999999999998</v>
      </c>
      <c r="M988">
        <v>35.200000000000003</v>
      </c>
      <c r="N988">
        <v>3</v>
      </c>
      <c r="O988">
        <v>16</v>
      </c>
      <c r="P988">
        <v>1689.6000000000001</v>
      </c>
      <c r="Q988">
        <v>9.8800000000000008</v>
      </c>
      <c r="R988">
        <v>1679.72</v>
      </c>
      <c r="AC988" s="1">
        <v>40554</v>
      </c>
    </row>
    <row r="989" spans="1:29" x14ac:dyDescent="0.25">
      <c r="A989" t="s">
        <v>78</v>
      </c>
      <c r="D989" t="s">
        <v>1088</v>
      </c>
      <c r="E989" t="s">
        <v>2015</v>
      </c>
      <c r="F989" t="s">
        <v>2080</v>
      </c>
      <c r="G989" t="s">
        <v>2085</v>
      </c>
      <c r="H989" t="s">
        <v>2094</v>
      </c>
      <c r="I989" t="s">
        <v>2100</v>
      </c>
      <c r="J989">
        <v>4715</v>
      </c>
      <c r="K989">
        <v>14.65</v>
      </c>
      <c r="L989">
        <v>2.9</v>
      </c>
      <c r="M989">
        <v>27.5</v>
      </c>
      <c r="N989">
        <v>5</v>
      </c>
      <c r="O989">
        <v>2</v>
      </c>
      <c r="P989">
        <v>275</v>
      </c>
      <c r="Q989">
        <v>0.84</v>
      </c>
      <c r="R989">
        <v>274.16000000000003</v>
      </c>
      <c r="AC989" s="1">
        <v>40723</v>
      </c>
    </row>
    <row r="990" spans="1:29" x14ac:dyDescent="0.25">
      <c r="A990" t="s">
        <v>141</v>
      </c>
      <c r="D990" t="s">
        <v>1150</v>
      </c>
      <c r="E990" t="s">
        <v>2041</v>
      </c>
      <c r="F990" t="s">
        <v>2076</v>
      </c>
      <c r="G990" t="s">
        <v>2085</v>
      </c>
      <c r="H990" t="s">
        <v>2093</v>
      </c>
      <c r="I990" t="s">
        <v>2099</v>
      </c>
      <c r="J990">
        <v>183</v>
      </c>
      <c r="K990">
        <v>28.17</v>
      </c>
      <c r="L990">
        <v>4.9000000000000004</v>
      </c>
      <c r="M990">
        <v>31.98</v>
      </c>
      <c r="N990">
        <v>5</v>
      </c>
      <c r="O990">
        <v>4</v>
      </c>
      <c r="P990">
        <v>639.6</v>
      </c>
      <c r="Q990">
        <v>8.89</v>
      </c>
      <c r="R990">
        <v>630.71</v>
      </c>
      <c r="AC990" s="1">
        <v>40787</v>
      </c>
    </row>
    <row r="991" spans="1:29" x14ac:dyDescent="0.25">
      <c r="A991" t="s">
        <v>196</v>
      </c>
      <c r="D991" t="s">
        <v>1205</v>
      </c>
      <c r="E991" t="s">
        <v>1990</v>
      </c>
      <c r="F991" t="s">
        <v>2079</v>
      </c>
      <c r="G991" t="s">
        <v>2085</v>
      </c>
      <c r="H991" t="s">
        <v>2095</v>
      </c>
      <c r="I991" t="s">
        <v>2100</v>
      </c>
      <c r="J991">
        <v>482</v>
      </c>
      <c r="K991">
        <v>21.67</v>
      </c>
      <c r="L991">
        <v>2.5</v>
      </c>
      <c r="M991">
        <v>36.94</v>
      </c>
      <c r="N991">
        <v>5</v>
      </c>
      <c r="O991">
        <v>18</v>
      </c>
      <c r="P991">
        <v>3324.6</v>
      </c>
      <c r="Q991">
        <v>9.69</v>
      </c>
      <c r="R991">
        <v>3314.91</v>
      </c>
      <c r="AC991" s="1">
        <v>41908</v>
      </c>
    </row>
    <row r="992" spans="1:29" x14ac:dyDescent="0.25">
      <c r="A992" t="s">
        <v>205</v>
      </c>
      <c r="D992" t="s">
        <v>1214</v>
      </c>
      <c r="E992" t="s">
        <v>2010</v>
      </c>
      <c r="F992" t="s">
        <v>2080</v>
      </c>
      <c r="G992" t="s">
        <v>2085</v>
      </c>
      <c r="H992" t="s">
        <v>2093</v>
      </c>
      <c r="I992" t="s">
        <v>2098</v>
      </c>
      <c r="J992">
        <v>1818</v>
      </c>
      <c r="K992">
        <v>6.48</v>
      </c>
      <c r="L992">
        <v>2.9</v>
      </c>
      <c r="M992">
        <v>21.54</v>
      </c>
      <c r="N992">
        <v>1</v>
      </c>
      <c r="O992">
        <v>9</v>
      </c>
      <c r="P992">
        <v>193.85999999999999</v>
      </c>
      <c r="Q992">
        <v>0.51</v>
      </c>
      <c r="R992">
        <v>193.35</v>
      </c>
      <c r="AC992" s="1">
        <v>41025</v>
      </c>
    </row>
    <row r="993" spans="1:29" x14ac:dyDescent="0.25">
      <c r="A993" t="s">
        <v>276</v>
      </c>
      <c r="D993" t="s">
        <v>1281</v>
      </c>
      <c r="E993" t="s">
        <v>2066</v>
      </c>
      <c r="F993" t="s">
        <v>2077</v>
      </c>
      <c r="G993" t="s">
        <v>2085</v>
      </c>
      <c r="H993" t="s">
        <v>2093</v>
      </c>
      <c r="I993" t="s">
        <v>2107</v>
      </c>
      <c r="J993">
        <v>4124</v>
      </c>
      <c r="K993">
        <v>32.96</v>
      </c>
      <c r="L993">
        <v>3.3</v>
      </c>
      <c r="M993">
        <v>9.3800000000000008</v>
      </c>
      <c r="N993">
        <v>3</v>
      </c>
      <c r="O993">
        <v>9</v>
      </c>
      <c r="P993">
        <v>253.26</v>
      </c>
      <c r="Q993">
        <v>0.97</v>
      </c>
      <c r="R993">
        <v>252.29</v>
      </c>
      <c r="AC993" s="1">
        <v>40924</v>
      </c>
    </row>
    <row r="994" spans="1:29" x14ac:dyDescent="0.25">
      <c r="A994" t="s">
        <v>333</v>
      </c>
      <c r="D994" t="s">
        <v>1336</v>
      </c>
      <c r="E994" t="s">
        <v>2062</v>
      </c>
      <c r="F994" t="s">
        <v>2075</v>
      </c>
      <c r="G994" t="s">
        <v>2085</v>
      </c>
      <c r="H994" t="s">
        <v>2096</v>
      </c>
      <c r="I994" t="s">
        <v>2105</v>
      </c>
      <c r="J994">
        <v>4843</v>
      </c>
      <c r="K994">
        <v>28.02</v>
      </c>
      <c r="L994">
        <v>4.5999999999999996</v>
      </c>
      <c r="M994">
        <v>39.26</v>
      </c>
      <c r="N994">
        <v>3</v>
      </c>
      <c r="O994">
        <v>10</v>
      </c>
      <c r="P994">
        <v>1177.8</v>
      </c>
      <c r="Q994">
        <v>2.98</v>
      </c>
      <c r="R994">
        <v>1174.82</v>
      </c>
      <c r="AC994" s="1">
        <v>42037</v>
      </c>
    </row>
    <row r="995" spans="1:29" x14ac:dyDescent="0.25">
      <c r="A995" t="s">
        <v>348</v>
      </c>
      <c r="D995" t="s">
        <v>1351</v>
      </c>
      <c r="E995" t="s">
        <v>1988</v>
      </c>
      <c r="F995" t="s">
        <v>2073</v>
      </c>
      <c r="G995" t="s">
        <v>2085</v>
      </c>
      <c r="H995" t="s">
        <v>2095</v>
      </c>
      <c r="I995" t="s">
        <v>2111</v>
      </c>
      <c r="J995">
        <v>4167</v>
      </c>
      <c r="K995">
        <v>41.73</v>
      </c>
      <c r="L995">
        <v>4.8</v>
      </c>
      <c r="M995">
        <v>33.200000000000003</v>
      </c>
      <c r="N995">
        <v>1</v>
      </c>
      <c r="O995">
        <v>8</v>
      </c>
      <c r="P995">
        <v>265.60000000000002</v>
      </c>
      <c r="Q995">
        <v>6.13</v>
      </c>
      <c r="R995">
        <v>259.47000000000003</v>
      </c>
      <c r="AC995" s="1">
        <v>42287</v>
      </c>
    </row>
    <row r="996" spans="1:29" x14ac:dyDescent="0.25">
      <c r="A996" t="s">
        <v>437</v>
      </c>
      <c r="D996" t="s">
        <v>1435</v>
      </c>
      <c r="E996" t="s">
        <v>2043</v>
      </c>
      <c r="F996" t="s">
        <v>2077</v>
      </c>
      <c r="G996" t="s">
        <v>2085</v>
      </c>
      <c r="H996" t="s">
        <v>2092</v>
      </c>
      <c r="I996" t="s">
        <v>2099</v>
      </c>
      <c r="J996">
        <v>3720</v>
      </c>
      <c r="K996">
        <v>43.68</v>
      </c>
      <c r="L996">
        <v>4.7</v>
      </c>
      <c r="M996">
        <v>36.97</v>
      </c>
      <c r="N996">
        <v>5</v>
      </c>
      <c r="O996">
        <v>17</v>
      </c>
      <c r="P996">
        <v>3142.45</v>
      </c>
      <c r="Q996">
        <v>3.49</v>
      </c>
      <c r="R996">
        <v>3138.96</v>
      </c>
      <c r="AC996" s="1">
        <v>40423</v>
      </c>
    </row>
    <row r="997" spans="1:29" x14ac:dyDescent="0.25">
      <c r="A997" t="s">
        <v>668</v>
      </c>
      <c r="D997" t="s">
        <v>1651</v>
      </c>
      <c r="E997" t="s">
        <v>2018</v>
      </c>
      <c r="F997" t="s">
        <v>2078</v>
      </c>
      <c r="G997" t="s">
        <v>2085</v>
      </c>
      <c r="H997" t="s">
        <v>2096</v>
      </c>
      <c r="I997" t="s">
        <v>2107</v>
      </c>
      <c r="J997">
        <v>2957</v>
      </c>
      <c r="K997">
        <v>30.23</v>
      </c>
      <c r="L997">
        <v>3.3</v>
      </c>
      <c r="M997">
        <v>27.12</v>
      </c>
      <c r="N997">
        <v>1</v>
      </c>
      <c r="O997">
        <v>1</v>
      </c>
      <c r="P997">
        <v>27.12</v>
      </c>
      <c r="Q997">
        <v>8.0500000000000007</v>
      </c>
      <c r="R997">
        <v>19.07</v>
      </c>
      <c r="AC997" s="1">
        <v>42660</v>
      </c>
    </row>
    <row r="998" spans="1:29" x14ac:dyDescent="0.25">
      <c r="A998" t="s">
        <v>756</v>
      </c>
      <c r="D998" t="s">
        <v>1732</v>
      </c>
      <c r="E998" t="s">
        <v>2011</v>
      </c>
      <c r="F998" t="s">
        <v>2074</v>
      </c>
      <c r="G998" t="s">
        <v>2085</v>
      </c>
      <c r="H998" t="s">
        <v>2094</v>
      </c>
      <c r="I998" t="s">
        <v>2098</v>
      </c>
      <c r="J998">
        <v>269</v>
      </c>
      <c r="K998">
        <v>24.88</v>
      </c>
      <c r="L998">
        <v>2.2999999999999998</v>
      </c>
      <c r="M998">
        <v>17.920000000000002</v>
      </c>
      <c r="N998">
        <v>5</v>
      </c>
      <c r="O998">
        <v>17</v>
      </c>
      <c r="P998">
        <v>1523.2</v>
      </c>
      <c r="Q998">
        <v>9.36</v>
      </c>
      <c r="R998">
        <v>1513.84</v>
      </c>
      <c r="AC998" s="1">
        <v>41496</v>
      </c>
    </row>
    <row r="999" spans="1:29" x14ac:dyDescent="0.25">
      <c r="A999" t="s">
        <v>774</v>
      </c>
      <c r="D999" t="s">
        <v>1750</v>
      </c>
      <c r="E999" t="s">
        <v>1989</v>
      </c>
      <c r="F999" t="s">
        <v>2078</v>
      </c>
      <c r="G999" t="s">
        <v>2085</v>
      </c>
      <c r="H999" t="s">
        <v>2093</v>
      </c>
      <c r="I999" t="s">
        <v>2100</v>
      </c>
      <c r="J999">
        <v>1335</v>
      </c>
      <c r="K999">
        <v>17.239999999999998</v>
      </c>
      <c r="L999">
        <v>3.7</v>
      </c>
      <c r="M999">
        <v>5.86</v>
      </c>
      <c r="N999">
        <v>2</v>
      </c>
      <c r="O999">
        <v>20</v>
      </c>
      <c r="P999">
        <v>234.4</v>
      </c>
      <c r="Q999">
        <v>4.37</v>
      </c>
      <c r="R999">
        <v>230.03</v>
      </c>
      <c r="AC999" s="1">
        <v>41969</v>
      </c>
    </row>
    <row r="1000" spans="1:29" x14ac:dyDescent="0.25">
      <c r="A1000" t="s">
        <v>924</v>
      </c>
      <c r="D1000" t="s">
        <v>1889</v>
      </c>
      <c r="E1000" t="s">
        <v>2032</v>
      </c>
      <c r="F1000" t="s">
        <v>2082</v>
      </c>
      <c r="G1000" t="s">
        <v>2085</v>
      </c>
      <c r="H1000" t="s">
        <v>2096</v>
      </c>
      <c r="I1000" t="s">
        <v>2105</v>
      </c>
      <c r="J1000">
        <v>4710</v>
      </c>
      <c r="K1000">
        <v>14.52</v>
      </c>
      <c r="L1000">
        <v>2.9</v>
      </c>
      <c r="M1000">
        <v>8.6199999999999992</v>
      </c>
      <c r="N1000">
        <v>4</v>
      </c>
      <c r="O1000">
        <v>19</v>
      </c>
      <c r="P1000">
        <v>655.11999999999989</v>
      </c>
      <c r="Q1000">
        <v>9.6300000000000008</v>
      </c>
      <c r="R1000">
        <v>645.49</v>
      </c>
      <c r="AC1000" s="1">
        <v>40442</v>
      </c>
    </row>
    <row r="1001" spans="1:29" x14ac:dyDescent="0.25">
      <c r="A1001" t="s">
        <v>949</v>
      </c>
      <c r="D1001" t="s">
        <v>1912</v>
      </c>
      <c r="E1001" t="s">
        <v>1982</v>
      </c>
      <c r="F1001" t="s">
        <v>2074</v>
      </c>
      <c r="G1001" t="s">
        <v>2085</v>
      </c>
      <c r="H1001" t="s">
        <v>2093</v>
      </c>
      <c r="I1001" t="s">
        <v>2106</v>
      </c>
      <c r="J1001">
        <v>2996</v>
      </c>
      <c r="K1001">
        <v>19.45</v>
      </c>
      <c r="L1001">
        <v>3.7</v>
      </c>
      <c r="M1001">
        <v>30.65</v>
      </c>
      <c r="N1001">
        <v>1</v>
      </c>
      <c r="O1001">
        <v>8</v>
      </c>
      <c r="P1001">
        <v>245.2</v>
      </c>
      <c r="Q1001">
        <v>5.08</v>
      </c>
      <c r="R1001">
        <v>240.12</v>
      </c>
      <c r="AC1001" s="1">
        <v>42853</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topLeftCell="A11" zoomScaleNormal="100" workbookViewId="0">
      <selection activeCell="E25" sqref="E25"/>
    </sheetView>
  </sheetViews>
  <sheetFormatPr defaultRowHeight="15" x14ac:dyDescent="0.25"/>
  <cols>
    <col min="1" max="1" width="14.5703125" customWidth="1"/>
    <col min="2" max="2" width="13.140625" customWidth="1"/>
    <col min="3" max="3" width="12.5703125" customWidth="1"/>
    <col min="4" max="4" width="11.28515625" customWidth="1"/>
    <col min="5" max="5" width="16" customWidth="1"/>
    <col min="6" max="6" width="15.42578125" customWidth="1"/>
    <col min="7" max="7" width="17.7109375" customWidth="1"/>
    <col min="8" max="8" width="12.140625" customWidth="1"/>
    <col min="9" max="9" width="20.5703125" customWidth="1"/>
    <col min="10" max="10" width="20.7109375" customWidth="1"/>
    <col min="11" max="11" width="11.28515625" customWidth="1"/>
    <col min="12" max="12" width="14.5703125" customWidth="1"/>
    <col min="13" max="13" width="15.42578125" customWidth="1"/>
    <col min="14" max="14" width="13.5703125" bestFit="1" customWidth="1"/>
    <col min="15" max="15" width="14.7109375" bestFit="1" customWidth="1"/>
    <col min="16" max="16" width="9.7109375" bestFit="1" customWidth="1"/>
    <col min="17" max="17" width="16.140625" bestFit="1" customWidth="1"/>
    <col min="18" max="18" width="15.85546875" bestFit="1" customWidth="1"/>
    <col min="19" max="19" width="12" bestFit="1" customWidth="1"/>
    <col min="20" max="20" width="7.7109375" customWidth="1"/>
    <col min="21" max="21" width="12.28515625" bestFit="1" customWidth="1"/>
    <col min="22" max="22" width="12.85546875" bestFit="1" customWidth="1"/>
    <col min="23" max="23" width="10.140625" bestFit="1" customWidth="1"/>
    <col min="24" max="24" width="11.28515625" bestFit="1" customWidth="1"/>
    <col min="25" max="25" width="12.140625" bestFit="1" customWidth="1"/>
    <col min="26" max="26" width="12.85546875" bestFit="1" customWidth="1"/>
    <col min="27" max="27" width="11" bestFit="1" customWidth="1"/>
    <col min="28" max="28" width="11.28515625" bestFit="1" customWidth="1"/>
  </cols>
  <sheetData>
    <row r="1" spans="1:6" x14ac:dyDescent="0.25">
      <c r="A1" t="s">
        <v>2117</v>
      </c>
    </row>
    <row r="2" spans="1:6" x14ac:dyDescent="0.25">
      <c r="F2" t="s">
        <v>2118</v>
      </c>
    </row>
    <row r="3" spans="1:6" x14ac:dyDescent="0.25">
      <c r="A3" s="11" t="s">
        <v>2113</v>
      </c>
      <c r="B3" t="s">
        <v>2115</v>
      </c>
      <c r="E3" s="11" t="s">
        <v>2113</v>
      </c>
      <c r="F3" t="s">
        <v>2116</v>
      </c>
    </row>
    <row r="4" spans="1:6" x14ac:dyDescent="0.25">
      <c r="A4" s="12" t="s">
        <v>1019</v>
      </c>
      <c r="B4" s="13">
        <v>75530.329999999987</v>
      </c>
      <c r="E4" s="12" t="s">
        <v>2108</v>
      </c>
      <c r="F4" s="13">
        <v>160</v>
      </c>
    </row>
    <row r="5" spans="1:6" x14ac:dyDescent="0.25">
      <c r="A5" s="12" t="s">
        <v>1025</v>
      </c>
      <c r="B5" s="13">
        <v>68851.92</v>
      </c>
      <c r="E5" s="12" t="s">
        <v>2100</v>
      </c>
      <c r="F5" s="13">
        <v>242</v>
      </c>
    </row>
    <row r="6" spans="1:6" x14ac:dyDescent="0.25">
      <c r="A6" s="12" t="s">
        <v>1026</v>
      </c>
      <c r="B6" s="13">
        <v>76179.49000000002</v>
      </c>
      <c r="E6" s="12" t="s">
        <v>2101</v>
      </c>
      <c r="F6" s="13">
        <v>172</v>
      </c>
    </row>
    <row r="7" spans="1:6" x14ac:dyDescent="0.25">
      <c r="A7" s="12" t="s">
        <v>1022</v>
      </c>
      <c r="B7" s="13">
        <v>86214.87999999999</v>
      </c>
      <c r="E7" s="12" t="s">
        <v>2110</v>
      </c>
      <c r="F7" s="13">
        <v>196</v>
      </c>
    </row>
    <row r="8" spans="1:6" x14ac:dyDescent="0.25">
      <c r="A8" s="12" t="s">
        <v>1017</v>
      </c>
      <c r="B8" s="13">
        <v>69913.349999999991</v>
      </c>
      <c r="E8" s="12" t="s">
        <v>2111</v>
      </c>
      <c r="F8" s="13">
        <v>243</v>
      </c>
    </row>
    <row r="9" spans="1:6" x14ac:dyDescent="0.25">
      <c r="A9" s="12" t="s">
        <v>1021</v>
      </c>
      <c r="B9" s="13">
        <v>61365.810000000012</v>
      </c>
      <c r="E9" s="12" t="s">
        <v>2103</v>
      </c>
      <c r="F9" s="13">
        <v>217</v>
      </c>
    </row>
    <row r="10" spans="1:6" x14ac:dyDescent="0.25">
      <c r="A10" s="12" t="s">
        <v>1018</v>
      </c>
      <c r="B10" s="13">
        <v>68447.06</v>
      </c>
      <c r="E10" s="12" t="s">
        <v>2109</v>
      </c>
      <c r="F10" s="13">
        <v>194</v>
      </c>
    </row>
    <row r="11" spans="1:6" x14ac:dyDescent="0.25">
      <c r="A11" s="12" t="s">
        <v>1020</v>
      </c>
      <c r="B11" s="13">
        <v>70336.459999999963</v>
      </c>
      <c r="E11" s="12" t="s">
        <v>2099</v>
      </c>
      <c r="F11" s="13">
        <v>172</v>
      </c>
    </row>
    <row r="12" spans="1:6" x14ac:dyDescent="0.25">
      <c r="A12" s="12" t="s">
        <v>1023</v>
      </c>
      <c r="B12" s="13">
        <v>96204.55</v>
      </c>
      <c r="E12" s="12" t="s">
        <v>2105</v>
      </c>
      <c r="F12" s="13">
        <v>240</v>
      </c>
    </row>
    <row r="13" spans="1:6" x14ac:dyDescent="0.25">
      <c r="A13" s="12" t="s">
        <v>1024</v>
      </c>
      <c r="B13" s="13">
        <v>62408.35</v>
      </c>
      <c r="E13" s="12" t="s">
        <v>2098</v>
      </c>
      <c r="F13" s="13">
        <v>268</v>
      </c>
    </row>
    <row r="14" spans="1:6" x14ac:dyDescent="0.25">
      <c r="A14" s="12" t="s">
        <v>2114</v>
      </c>
      <c r="B14" s="13">
        <v>735452.2</v>
      </c>
      <c r="E14" s="12" t="s">
        <v>2104</v>
      </c>
      <c r="F14" s="13">
        <v>158</v>
      </c>
    </row>
    <row r="15" spans="1:6" x14ac:dyDescent="0.25">
      <c r="E15" s="12" t="s">
        <v>2107</v>
      </c>
      <c r="F15" s="13">
        <v>184</v>
      </c>
    </row>
    <row r="16" spans="1:6" x14ac:dyDescent="0.25">
      <c r="E16" s="12" t="s">
        <v>2106</v>
      </c>
      <c r="F16" s="13">
        <v>176</v>
      </c>
    </row>
    <row r="17" spans="2:13" x14ac:dyDescent="0.25">
      <c r="E17" s="12" t="s">
        <v>2097</v>
      </c>
      <c r="F17" s="13">
        <v>205</v>
      </c>
    </row>
    <row r="18" spans="2:13" x14ac:dyDescent="0.25">
      <c r="E18" s="12" t="s">
        <v>2102</v>
      </c>
      <c r="F18" s="13">
        <v>235</v>
      </c>
    </row>
    <row r="19" spans="2:13" x14ac:dyDescent="0.25">
      <c r="E19" s="12" t="s">
        <v>2114</v>
      </c>
      <c r="F19" s="13">
        <v>3062</v>
      </c>
    </row>
    <row r="25" spans="2:13" x14ac:dyDescent="0.25">
      <c r="M25" t="s">
        <v>2122</v>
      </c>
    </row>
    <row r="27" spans="2:13" x14ac:dyDescent="0.25">
      <c r="B27" t="s">
        <v>2120</v>
      </c>
    </row>
    <row r="28" spans="2:13" x14ac:dyDescent="0.25">
      <c r="F28" t="s">
        <v>2121</v>
      </c>
      <c r="L28" s="11" t="s">
        <v>2113</v>
      </c>
      <c r="M28" t="s">
        <v>2123</v>
      </c>
    </row>
    <row r="29" spans="2:13" x14ac:dyDescent="0.25">
      <c r="B29" s="11" t="s">
        <v>2113</v>
      </c>
      <c r="C29" t="s">
        <v>2119</v>
      </c>
      <c r="L29" s="12" t="s">
        <v>1019</v>
      </c>
      <c r="M29" s="13">
        <v>607.96000000000015</v>
      </c>
    </row>
    <row r="30" spans="2:13" x14ac:dyDescent="0.25">
      <c r="B30" s="12" t="s">
        <v>2091</v>
      </c>
      <c r="C30" s="13">
        <v>82383.37999999999</v>
      </c>
      <c r="L30" s="12" t="s">
        <v>1025</v>
      </c>
      <c r="M30" s="13">
        <v>516.90000000000032</v>
      </c>
    </row>
    <row r="31" spans="2:13" x14ac:dyDescent="0.25">
      <c r="B31" s="12" t="s">
        <v>2086</v>
      </c>
      <c r="C31" s="13">
        <v>84132.320000000022</v>
      </c>
      <c r="F31" s="11" t="s">
        <v>2113</v>
      </c>
      <c r="G31" t="s">
        <v>2115</v>
      </c>
      <c r="L31" s="12" t="s">
        <v>1026</v>
      </c>
      <c r="M31" s="13">
        <v>541.61000000000013</v>
      </c>
    </row>
    <row r="32" spans="2:13" x14ac:dyDescent="0.25">
      <c r="B32" s="12" t="s">
        <v>2089</v>
      </c>
      <c r="C32" s="13">
        <v>86041.200000000026</v>
      </c>
      <c r="F32" s="14" t="s">
        <v>2124</v>
      </c>
      <c r="G32" s="13">
        <v>59013.530000000021</v>
      </c>
      <c r="L32" s="12" t="s">
        <v>1022</v>
      </c>
      <c r="M32" s="13">
        <v>628.84</v>
      </c>
    </row>
    <row r="33" spans="2:13" x14ac:dyDescent="0.25">
      <c r="B33" s="12" t="s">
        <v>2084</v>
      </c>
      <c r="C33" s="13">
        <v>79868.039999999979</v>
      </c>
      <c r="F33" s="14" t="s">
        <v>2125</v>
      </c>
      <c r="G33" s="13">
        <v>50880.27</v>
      </c>
      <c r="L33" s="12" t="s">
        <v>1017</v>
      </c>
      <c r="M33" s="13">
        <v>456.87999999999994</v>
      </c>
    </row>
    <row r="34" spans="2:13" x14ac:dyDescent="0.25">
      <c r="B34" s="12" t="s">
        <v>2090</v>
      </c>
      <c r="C34" s="13">
        <v>68952.400000000009</v>
      </c>
      <c r="F34" s="14" t="s">
        <v>2126</v>
      </c>
      <c r="G34" s="13">
        <v>76460.780000000028</v>
      </c>
      <c r="L34" s="12" t="s">
        <v>1021</v>
      </c>
      <c r="M34" s="13">
        <v>414.35000000000008</v>
      </c>
    </row>
    <row r="35" spans="2:13" x14ac:dyDescent="0.25">
      <c r="B35" s="12" t="s">
        <v>2083</v>
      </c>
      <c r="C35" s="13">
        <v>84036.6</v>
      </c>
      <c r="F35" s="14" t="s">
        <v>2127</v>
      </c>
      <c r="G35" s="13">
        <v>49466.549999999996</v>
      </c>
      <c r="L35" s="12" t="s">
        <v>1018</v>
      </c>
      <c r="M35" s="13">
        <v>303.47000000000003</v>
      </c>
    </row>
    <row r="36" spans="2:13" x14ac:dyDescent="0.25">
      <c r="B36" s="12" t="s">
        <v>2087</v>
      </c>
      <c r="C36" s="13">
        <v>84643.25</v>
      </c>
      <c r="F36" s="14" t="s">
        <v>2128</v>
      </c>
      <c r="G36" s="13">
        <v>62445.860000000015</v>
      </c>
      <c r="L36" s="12" t="s">
        <v>1020</v>
      </c>
      <c r="M36" s="13">
        <v>546.33000000000004</v>
      </c>
    </row>
    <row r="37" spans="2:13" x14ac:dyDescent="0.25">
      <c r="B37" s="12" t="s">
        <v>2088</v>
      </c>
      <c r="C37" s="13">
        <v>60378.760000000024</v>
      </c>
      <c r="F37" s="14" t="s">
        <v>2129</v>
      </c>
      <c r="G37" s="13">
        <v>57857.410000000011</v>
      </c>
      <c r="L37" s="12" t="s">
        <v>1023</v>
      </c>
      <c r="M37" s="13">
        <v>573.25999999999976</v>
      </c>
    </row>
    <row r="38" spans="2:13" x14ac:dyDescent="0.25">
      <c r="B38" s="12" t="s">
        <v>2085</v>
      </c>
      <c r="C38" s="13">
        <v>99964.79</v>
      </c>
      <c r="F38" s="14" t="s">
        <v>2130</v>
      </c>
      <c r="G38" s="13">
        <v>63298.460000000021</v>
      </c>
      <c r="L38" s="12" t="s">
        <v>1024</v>
      </c>
      <c r="M38" s="13">
        <v>461.8599999999999</v>
      </c>
    </row>
    <row r="39" spans="2:13" x14ac:dyDescent="0.25">
      <c r="B39" s="12" t="s">
        <v>2114</v>
      </c>
      <c r="C39" s="13">
        <v>730400.74000000011</v>
      </c>
      <c r="F39" s="14" t="s">
        <v>2131</v>
      </c>
      <c r="G39" s="13">
        <v>66375.329999999973</v>
      </c>
      <c r="L39" s="12" t="s">
        <v>2114</v>
      </c>
      <c r="M39" s="13">
        <v>5051.46</v>
      </c>
    </row>
    <row r="40" spans="2:13" x14ac:dyDescent="0.25">
      <c r="F40" s="14" t="s">
        <v>2132</v>
      </c>
      <c r="G40" s="13">
        <v>79488.870000000039</v>
      </c>
    </row>
    <row r="41" spans="2:13" x14ac:dyDescent="0.25">
      <c r="F41" s="14" t="s">
        <v>2133</v>
      </c>
      <c r="G41" s="13">
        <v>56265.279999999999</v>
      </c>
    </row>
    <row r="42" spans="2:13" x14ac:dyDescent="0.25">
      <c r="F42" s="14" t="s">
        <v>2134</v>
      </c>
      <c r="G42" s="13">
        <v>55038.49</v>
      </c>
    </row>
    <row r="43" spans="2:13" x14ac:dyDescent="0.25">
      <c r="F43" s="14" t="s">
        <v>2135</v>
      </c>
      <c r="G43" s="13">
        <v>58861.37000000001</v>
      </c>
    </row>
    <row r="44" spans="2:13" x14ac:dyDescent="0.25">
      <c r="F44" s="14" t="s">
        <v>2114</v>
      </c>
      <c r="G44" s="13">
        <v>735452.20000000007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B31"/>
  <sheetViews>
    <sheetView showGridLines="0" showRowColHeaders="0" tabSelected="1" zoomScale="55" zoomScaleNormal="55" workbookViewId="0">
      <selection activeCell="AO33" sqref="AO33"/>
    </sheetView>
  </sheetViews>
  <sheetFormatPr defaultRowHeight="15" x14ac:dyDescent="0.25"/>
  <cols>
    <col min="1" max="16384" width="9.140625" style="22"/>
  </cols>
  <sheetData>
    <row r="31" spans="28:28" x14ac:dyDescent="0.25">
      <c r="AB31" s="22" t="s">
        <v>2146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Sheet8</vt:lpstr>
      <vt:lpstr>Sheet4</vt:lpstr>
      <vt:lpstr>Sheet3</vt:lpstr>
      <vt:lpstr>Sheet2</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2025-09-26T06:09:54Z</dcterms:created>
  <dcterms:modified xsi:type="dcterms:W3CDTF">2026-03-15T05:48:13Z</dcterms:modified>
</cp:coreProperties>
</file>